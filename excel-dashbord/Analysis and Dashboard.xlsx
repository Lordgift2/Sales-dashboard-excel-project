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3"/>
  <workbookPr codeName="ThisWorkbook" hidePivotFieldList="1" defaultThemeVersion="166925"/>
  <mc:AlternateContent xmlns:mc="http://schemas.openxmlformats.org/markup-compatibility/2006">
    <mc:Choice Requires="x15">
      <x15ac:absPath xmlns:x15ac="http://schemas.microsoft.com/office/spreadsheetml/2010/11/ac" url="C:\Users\adewu\Desktop\Portfolio Building Set\Sales Perfomance Analysis\"/>
    </mc:Choice>
  </mc:AlternateContent>
  <xr:revisionPtr revIDLastSave="0" documentId="8_{5D4C734F-D05A-4BD6-88A8-56607C635737}" xr6:coauthVersionLast="47" xr6:coauthVersionMax="47" xr10:uidLastSave="{00000000-0000-0000-0000-000000000000}"/>
  <bookViews>
    <workbookView xWindow="-120" yWindow="-120" windowWidth="20730" windowHeight="11160" xr2:uid="{FC897319-5D9B-4212-AC1C-BE3D719B7088}"/>
  </bookViews>
  <sheets>
    <sheet name="Raw sales_data" sheetId="1" r:id="rId1"/>
    <sheet name="Cleaned Working sales data" sheetId="11" r:id="rId2"/>
    <sheet name="Analysis" sheetId="12" r:id="rId3"/>
    <sheet name="Dashboard" sheetId="16" r:id="rId4"/>
  </sheets>
  <definedNames>
    <definedName name="_xlnm._FilterDatabase" localSheetId="1" hidden="1">'Cleaned Working sales data'!$A$1:$M$1005</definedName>
    <definedName name="Avg_Discount">Analysis!$C$3</definedName>
    <definedName name="date">Analysis!$A$1</definedName>
    <definedName name="Discount">'Cleaned Working sales data'!$I$2:$I$1001</definedName>
    <definedName name="Product">'Cleaned Working sales data'!$F$2:$F$1001</definedName>
    <definedName name="Qty_Sold">'Cleaned Working sales data'!$E$2:$E$1001</definedName>
    <definedName name="Slicer_Month">#N/A</definedName>
    <definedName name="Total_Qty_Sold">Analysis!$B$3</definedName>
    <definedName name="total_Revenue">Analysis!$A$3</definedName>
    <definedName name="Unit_Price">'Cleaned Working sales data'!$G$2:$G$1001</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11" l="1"/>
  <c r="D3" i="11"/>
  <c r="D5" i="11"/>
  <c r="D6" i="11"/>
  <c r="D9" i="11"/>
  <c r="D10" i="11"/>
  <c r="D17" i="11"/>
  <c r="D20" i="11"/>
  <c r="D23" i="11"/>
  <c r="D24" i="11"/>
  <c r="D32" i="11"/>
  <c r="D33" i="11"/>
  <c r="D39" i="11"/>
  <c r="D40" i="11"/>
  <c r="D44" i="11"/>
  <c r="D45" i="11"/>
  <c r="D46" i="11"/>
  <c r="D47" i="11"/>
  <c r="D53" i="11"/>
  <c r="D54" i="11"/>
  <c r="D62" i="11"/>
  <c r="D65" i="11"/>
  <c r="D74" i="11"/>
  <c r="D81" i="11"/>
  <c r="D84" i="11"/>
  <c r="D96" i="11"/>
  <c r="D99" i="11"/>
  <c r="D100" i="11"/>
  <c r="A1" i="12"/>
  <c r="D257" i="11" l="1"/>
  <c r="D151" i="11"/>
  <c r="D570" i="11"/>
  <c r="D177" i="11"/>
  <c r="D103" i="11"/>
  <c r="D258" i="11"/>
  <c r="D410" i="11"/>
  <c r="D731" i="11"/>
  <c r="D819" i="11"/>
  <c r="D571" i="11"/>
  <c r="D820" i="11"/>
  <c r="D914" i="11"/>
  <c r="D572" i="11"/>
  <c r="D732" i="11"/>
  <c r="D750" i="11"/>
  <c r="D733" i="11"/>
  <c r="D545" i="11"/>
  <c r="D178" i="11"/>
  <c r="D259" i="11"/>
  <c r="D915" i="11"/>
  <c r="D821" i="11"/>
  <c r="D666" i="11"/>
  <c r="D916" i="11"/>
  <c r="D260" i="11"/>
  <c r="D323" i="11"/>
  <c r="D823" i="11"/>
  <c r="D339" i="11"/>
  <c r="D664" i="11"/>
  <c r="D573" i="11"/>
  <c r="D4" i="11"/>
  <c r="D602" i="11"/>
  <c r="D574" i="11"/>
  <c r="D105" i="11"/>
  <c r="D575" i="11"/>
  <c r="D824" i="11"/>
  <c r="D505" i="11"/>
  <c r="D976" i="11"/>
  <c r="D917" i="11"/>
  <c r="D340" i="11"/>
  <c r="D261" i="11"/>
  <c r="D262" i="11"/>
  <c r="D180" i="11"/>
  <c r="D503" i="11"/>
  <c r="D827" i="11"/>
  <c r="D504" i="11"/>
  <c r="D7" i="11"/>
  <c r="D412" i="11"/>
  <c r="D902" i="11"/>
  <c r="D341" i="11"/>
  <c r="D525" i="11"/>
  <c r="D263" i="11"/>
  <c r="D826" i="11"/>
  <c r="D813" i="11"/>
  <c r="D777" i="11"/>
  <c r="D577" i="11"/>
  <c r="D8" i="11"/>
  <c r="D264" i="11"/>
  <c r="D342" i="11"/>
  <c r="D663" i="11"/>
  <c r="D181" i="11"/>
  <c r="D343" i="11"/>
  <c r="D386" i="11"/>
  <c r="D814" i="11"/>
  <c r="D657" i="11"/>
  <c r="D344" i="11"/>
  <c r="D919" i="11"/>
  <c r="D764" i="11"/>
  <c r="D665" i="11"/>
  <c r="D413" i="11"/>
  <c r="D414" i="11"/>
  <c r="D638" i="11"/>
  <c r="D345" i="11"/>
  <c r="D415" i="11"/>
  <c r="D11" i="11"/>
  <c r="D416" i="11"/>
  <c r="D346" i="11"/>
  <c r="D182" i="11"/>
  <c r="D829" i="11"/>
  <c r="D830" i="11"/>
  <c r="D265" i="11"/>
  <c r="D831" i="11"/>
  <c r="D667" i="11"/>
  <c r="D825" i="11"/>
  <c r="D108" i="11"/>
  <c r="D778" i="11"/>
  <c r="D267" i="11"/>
  <c r="D832" i="11"/>
  <c r="D183" i="11"/>
  <c r="D833" i="11"/>
  <c r="D578" i="11"/>
  <c r="D834" i="11"/>
  <c r="D347" i="11"/>
  <c r="D184" i="11"/>
  <c r="D109" i="11"/>
  <c r="D12" i="11"/>
  <c r="D737" i="11"/>
  <c r="D476" i="11"/>
  <c r="D753" i="11"/>
  <c r="D836" i="11"/>
  <c r="D943" i="11"/>
  <c r="D837" i="11"/>
  <c r="D669" i="11"/>
  <c r="D695" i="11"/>
  <c r="D579" i="11"/>
  <c r="D670" i="11"/>
  <c r="D838" i="11"/>
  <c r="D738" i="11"/>
  <c r="D739" i="11"/>
  <c r="D580" i="11"/>
  <c r="D417" i="11"/>
  <c r="D13" i="11"/>
  <c r="D922" i="11"/>
  <c r="D186" i="11"/>
  <c r="D187" i="11"/>
  <c r="D348" i="11"/>
  <c r="D188" i="11"/>
  <c r="D581" i="11"/>
  <c r="D110" i="11"/>
  <c r="D234" i="11"/>
  <c r="D740" i="11"/>
  <c r="D839" i="11"/>
  <c r="D711" i="11"/>
  <c r="D268" i="11"/>
  <c r="D14" i="11"/>
  <c r="D742" i="11"/>
  <c r="D418" i="11"/>
  <c r="D349" i="11"/>
  <c r="D923" i="11"/>
  <c r="D15" i="11"/>
  <c r="D275" i="11"/>
  <c r="D350" i="11"/>
  <c r="D419" i="11"/>
  <c r="D351" i="11"/>
  <c r="D582" i="11"/>
  <c r="D840" i="11"/>
  <c r="D269" i="11"/>
  <c r="D270" i="11"/>
  <c r="D111" i="11"/>
  <c r="D506" i="11"/>
  <c r="D352" i="11"/>
  <c r="D191" i="11"/>
  <c r="D420" i="11"/>
  <c r="D786" i="11"/>
  <c r="D16" i="11"/>
  <c r="D271" i="11"/>
  <c r="D635" i="11"/>
  <c r="D743" i="11"/>
  <c r="D583" i="11"/>
  <c r="D422" i="11"/>
  <c r="D113" i="11"/>
  <c r="D272" i="11"/>
  <c r="D744" i="11"/>
  <c r="D671" i="11"/>
  <c r="D507" i="11"/>
  <c r="D192" i="11"/>
  <c r="D841" i="11"/>
  <c r="D18" i="11"/>
  <c r="D723" i="11"/>
  <c r="D842" i="11"/>
  <c r="D924" i="11"/>
  <c r="D273" i="11"/>
  <c r="D398" i="11"/>
  <c r="D423" i="11"/>
  <c r="D746" i="11"/>
  <c r="D584" i="11"/>
  <c r="D925" i="11"/>
  <c r="D585" i="11"/>
  <c r="D508" i="11"/>
  <c r="D792" i="11"/>
  <c r="D424" i="11"/>
  <c r="D354" i="11"/>
  <c r="D672" i="11"/>
  <c r="D425" i="11"/>
  <c r="D114" i="11"/>
  <c r="D843" i="11"/>
  <c r="D844" i="11"/>
  <c r="D426" i="11"/>
  <c r="D355" i="11"/>
  <c r="D274" i="11"/>
  <c r="D898" i="11"/>
  <c r="D586" i="11"/>
  <c r="D747" i="11"/>
  <c r="D748" i="11"/>
  <c r="D749" i="11"/>
  <c r="D589" i="11"/>
  <c r="D193" i="11"/>
  <c r="D356" i="11"/>
  <c r="D741" i="11"/>
  <c r="D804" i="11"/>
  <c r="D926" i="11"/>
  <c r="D115" i="11"/>
  <c r="D803" i="11"/>
  <c r="D509" i="11"/>
  <c r="D21" i="11"/>
  <c r="D751" i="11"/>
  <c r="D927" i="11"/>
  <c r="D752" i="11"/>
  <c r="D928" i="11"/>
  <c r="D648" i="11"/>
  <c r="D358" i="11"/>
  <c r="D965" i="11"/>
  <c r="D510" i="11"/>
  <c r="D277" i="11"/>
  <c r="D79" i="11"/>
  <c r="D846" i="11"/>
  <c r="D427" i="11"/>
  <c r="D929" i="11"/>
  <c r="D847" i="11"/>
  <c r="D359" i="11"/>
  <c r="D906" i="11"/>
  <c r="D848" i="11"/>
  <c r="D484" i="11"/>
  <c r="D279" i="11"/>
  <c r="D280" i="11"/>
  <c r="D515" i="11"/>
  <c r="D116" i="11"/>
  <c r="D22" i="11"/>
  <c r="D360" i="11"/>
  <c r="D756" i="11"/>
  <c r="D588" i="11"/>
  <c r="D674" i="11"/>
  <c r="D675" i="11"/>
  <c r="D278" i="11"/>
  <c r="D281" i="11"/>
  <c r="D930" i="11"/>
  <c r="D282" i="11"/>
  <c r="D946" i="11"/>
  <c r="D849" i="11"/>
  <c r="D850" i="11"/>
  <c r="D117" i="11"/>
  <c r="D361" i="11"/>
  <c r="D851" i="11"/>
  <c r="D805" i="11"/>
  <c r="D19" i="11"/>
  <c r="D31" i="11"/>
  <c r="D283" i="11"/>
  <c r="D532" i="11"/>
  <c r="D758" i="11"/>
  <c r="D194" i="11"/>
  <c r="D676" i="11"/>
  <c r="D195" i="11"/>
  <c r="D704" i="11"/>
  <c r="D759" i="11"/>
  <c r="D513" i="11"/>
  <c r="D931" i="11"/>
  <c r="D25" i="11"/>
  <c r="D363" i="11"/>
  <c r="D932" i="11"/>
  <c r="D677" i="11"/>
  <c r="D429" i="11"/>
  <c r="D514" i="11"/>
  <c r="D430" i="11"/>
  <c r="D26" i="11"/>
  <c r="D431" i="11"/>
  <c r="D276" i="11"/>
  <c r="D933" i="11"/>
  <c r="D432" i="11"/>
  <c r="D332" i="11"/>
  <c r="D858" i="11"/>
  <c r="D197" i="11"/>
  <c r="D364" i="11"/>
  <c r="D434" i="11"/>
  <c r="D435" i="11"/>
  <c r="D421" i="11"/>
  <c r="D934" i="11"/>
  <c r="D198" i="11"/>
  <c r="D935" i="11"/>
  <c r="D436" i="11"/>
  <c r="D365" i="11"/>
  <c r="D284" i="11"/>
  <c r="D760" i="11"/>
  <c r="D199" i="11"/>
  <c r="D516" i="11"/>
  <c r="D937" i="11"/>
  <c r="D119" i="11"/>
  <c r="D853" i="11"/>
  <c r="D678" i="11"/>
  <c r="D237" i="11"/>
  <c r="D366" i="11"/>
  <c r="D590" i="11"/>
  <c r="D517" i="11"/>
  <c r="D854" i="11"/>
  <c r="D120" i="11"/>
  <c r="D437" i="11"/>
  <c r="D761" i="11"/>
  <c r="D855" i="11"/>
  <c r="D762" i="11"/>
  <c r="D367" i="11"/>
  <c r="D27" i="11"/>
  <c r="D28" i="11"/>
  <c r="D679" i="11"/>
  <c r="D200" i="11"/>
  <c r="D438" i="11"/>
  <c r="D518" i="11"/>
  <c r="D285" i="11"/>
  <c r="D625" i="11"/>
  <c r="D591" i="11"/>
  <c r="D912" i="11"/>
  <c r="D856" i="11"/>
  <c r="D368" i="11"/>
  <c r="D680" i="11"/>
  <c r="D767" i="11"/>
  <c r="D938" i="11"/>
  <c r="D369" i="11"/>
  <c r="D754" i="11"/>
  <c r="D681" i="11"/>
  <c r="D999" i="11"/>
  <c r="D440" i="11"/>
  <c r="D201" i="11"/>
  <c r="D122" i="11"/>
  <c r="D29" i="11"/>
  <c r="D441" i="11"/>
  <c r="D939" i="11"/>
  <c r="D494" i="11"/>
  <c r="D857" i="11"/>
  <c r="D145" i="11"/>
  <c r="D682" i="11"/>
  <c r="D790" i="11"/>
  <c r="D683" i="11"/>
  <c r="D860" i="11"/>
  <c r="D123" i="11"/>
  <c r="D684" i="11"/>
  <c r="D787" i="11"/>
  <c r="D593" i="11"/>
  <c r="D202" i="11"/>
  <c r="D124" i="11"/>
  <c r="D287" i="11"/>
  <c r="D955" i="11"/>
  <c r="D685" i="11"/>
  <c r="D765" i="11"/>
  <c r="D289" i="11"/>
  <c r="D203" i="11"/>
  <c r="D48" i="11"/>
  <c r="D735" i="11"/>
  <c r="D290" i="11"/>
  <c r="D370" i="11"/>
  <c r="D442" i="11"/>
  <c r="D519" i="11"/>
  <c r="D594" i="11"/>
  <c r="D861" i="11"/>
  <c r="D30" i="11"/>
  <c r="D862" i="11"/>
  <c r="D687" i="11"/>
  <c r="D443" i="11"/>
  <c r="D157" i="11"/>
  <c r="D190" i="11"/>
  <c r="D371" i="11"/>
  <c r="D291" i="11"/>
  <c r="D973" i="11"/>
  <c r="D768" i="11"/>
  <c r="D520" i="11"/>
  <c r="D576" i="11"/>
  <c r="D251" i="11"/>
  <c r="D769" i="11"/>
  <c r="D521" i="11"/>
  <c r="D595" i="11"/>
  <c r="D522" i="11"/>
  <c r="D292" i="11"/>
  <c r="D654" i="11"/>
  <c r="D76" i="11"/>
  <c r="D688" i="11"/>
  <c r="D596" i="11"/>
  <c r="D92" i="11"/>
  <c r="D126" i="11"/>
  <c r="D940" i="11"/>
  <c r="D941" i="11"/>
  <c r="D942" i="11"/>
  <c r="D771" i="11"/>
  <c r="D207" i="11"/>
  <c r="D523" i="11"/>
  <c r="D444" i="11"/>
  <c r="D293" i="11"/>
  <c r="D127" i="11"/>
  <c r="D598" i="11"/>
  <c r="D372" i="11"/>
  <c r="D599" i="11"/>
  <c r="D474" i="11"/>
  <c r="D294" i="11"/>
  <c r="D757" i="11"/>
  <c r="D34" i="11"/>
  <c r="D35" i="11"/>
  <c r="D128" i="11"/>
  <c r="D694" i="11"/>
  <c r="D772" i="11"/>
  <c r="D734" i="11"/>
  <c r="D526" i="11"/>
  <c r="D949" i="11"/>
  <c r="D773" i="11"/>
  <c r="D601" i="11"/>
  <c r="D36" i="11"/>
  <c r="D445" i="11"/>
  <c r="D37" i="11"/>
  <c r="D295" i="11"/>
  <c r="D296" i="11"/>
  <c r="D845" i="11"/>
  <c r="D774" i="11"/>
  <c r="D208" i="11"/>
  <c r="D863" i="11"/>
  <c r="D373" i="11"/>
  <c r="D374" i="11"/>
  <c r="D944" i="11"/>
  <c r="D129" i="11"/>
  <c r="D945" i="11"/>
  <c r="D320" i="11"/>
  <c r="D131" i="11"/>
  <c r="D38" i="11"/>
  <c r="D446" i="11"/>
  <c r="D447" i="11"/>
  <c r="D209" i="11"/>
  <c r="D210" i="11"/>
  <c r="D297" i="11"/>
  <c r="D763" i="11"/>
  <c r="D947" i="11"/>
  <c r="D60" i="11"/>
  <c r="D775" i="11"/>
  <c r="D375" i="11"/>
  <c r="D603" i="11"/>
  <c r="D448" i="11"/>
  <c r="D298" i="11"/>
  <c r="D690" i="11"/>
  <c r="D604" i="11"/>
  <c r="D865" i="11"/>
  <c r="D449" i="11"/>
  <c r="D689" i="11"/>
  <c r="D376" i="11"/>
  <c r="D686" i="11"/>
  <c r="D211" i="11"/>
  <c r="D969" i="11"/>
  <c r="D549" i="11"/>
  <c r="D243" i="11"/>
  <c r="D528" i="11"/>
  <c r="D957" i="11"/>
  <c r="D450" i="11"/>
  <c r="D776" i="11"/>
  <c r="D745" i="11"/>
  <c r="D378" i="11"/>
  <c r="D691" i="11"/>
  <c r="D985" i="11"/>
  <c r="D41" i="11"/>
  <c r="D451" i="11"/>
  <c r="D299" i="11"/>
  <c r="D529" i="11"/>
  <c r="D779" i="11"/>
  <c r="D605" i="11"/>
  <c r="D606" i="11"/>
  <c r="D868" i="11"/>
  <c r="D300" i="11"/>
  <c r="D133" i="11"/>
  <c r="D301" i="11"/>
  <c r="D452" i="11"/>
  <c r="D692" i="11"/>
  <c r="D212" i="11"/>
  <c r="D869" i="11"/>
  <c r="D780" i="11"/>
  <c r="D693" i="11"/>
  <c r="D859" i="11"/>
  <c r="D607" i="11"/>
  <c r="D911" i="11"/>
  <c r="D608" i="11"/>
  <c r="D125" i="11"/>
  <c r="D104" i="11"/>
  <c r="D950" i="11"/>
  <c r="D530" i="11"/>
  <c r="D179" i="11"/>
  <c r="D852" i="11"/>
  <c r="D531" i="11"/>
  <c r="D176" i="11"/>
  <c r="D380" i="11"/>
  <c r="D249" i="11"/>
  <c r="D609" i="11"/>
  <c r="D214" i="11"/>
  <c r="D121" i="11"/>
  <c r="D135" i="11"/>
  <c r="D43" i="11"/>
  <c r="D136" i="11"/>
  <c r="D565" i="11"/>
  <c r="D381" i="11"/>
  <c r="D610" i="11"/>
  <c r="D303" i="11"/>
  <c r="D454" i="11"/>
  <c r="D304" i="11"/>
  <c r="D951" i="11"/>
  <c r="D783" i="11"/>
  <c r="D305" i="11"/>
  <c r="D137" i="11"/>
  <c r="D870" i="11"/>
  <c r="D871" i="11"/>
  <c r="D138" i="11"/>
  <c r="D872" i="11"/>
  <c r="D784" i="11"/>
  <c r="D873" i="11"/>
  <c r="D215" i="11"/>
  <c r="D611" i="11"/>
  <c r="D952" i="11"/>
  <c r="D956" i="11"/>
  <c r="D382" i="11"/>
  <c r="D216" i="11"/>
  <c r="D612" i="11"/>
  <c r="D225" i="11"/>
  <c r="D533" i="11"/>
  <c r="D967" i="11"/>
  <c r="D696" i="11"/>
  <c r="D383" i="11"/>
  <c r="D134" i="11"/>
  <c r="D953" i="11"/>
  <c r="D668" i="11"/>
  <c r="D866" i="11"/>
  <c r="D785" i="11"/>
  <c r="D697" i="11"/>
  <c r="D49" i="11"/>
  <c r="D534" i="11"/>
  <c r="D196" i="11"/>
  <c r="D218" i="11"/>
  <c r="D698" i="11"/>
  <c r="D699" i="11"/>
  <c r="D954" i="11"/>
  <c r="D306" i="11"/>
  <c r="D50" i="11"/>
  <c r="D384" i="11"/>
  <c r="D455" i="11"/>
  <c r="D874" i="11"/>
  <c r="D875" i="11"/>
  <c r="D613" i="11"/>
  <c r="D219" i="11"/>
  <c r="D266" i="11"/>
  <c r="D307" i="11"/>
  <c r="D700" i="11"/>
  <c r="D51" i="11"/>
  <c r="D456" i="11"/>
  <c r="D457" i="11"/>
  <c r="D453" i="11"/>
  <c r="D535" i="11"/>
  <c r="D964" i="11"/>
  <c r="D309" i="11"/>
  <c r="D385" i="11"/>
  <c r="D788" i="11"/>
  <c r="D458" i="11"/>
  <c r="D536" i="11"/>
  <c r="D90" i="11"/>
  <c r="D141" i="11"/>
  <c r="D52" i="11"/>
  <c r="D107" i="11"/>
  <c r="D537" i="11"/>
  <c r="D459" i="11"/>
  <c r="D310" i="11"/>
  <c r="D876" i="11"/>
  <c r="D615" i="11"/>
  <c r="D460" i="11"/>
  <c r="D142" i="11"/>
  <c r="D701" i="11"/>
  <c r="D702" i="11"/>
  <c r="D703" i="11"/>
  <c r="D616" i="11"/>
  <c r="D789" i="11"/>
  <c r="D311" i="11"/>
  <c r="D658" i="11"/>
  <c r="D143" i="11"/>
  <c r="D406" i="11"/>
  <c r="D55" i="11"/>
  <c r="D877" i="11"/>
  <c r="D139" i="11"/>
  <c r="D617" i="11"/>
  <c r="D538" i="11"/>
  <c r="D705" i="11"/>
  <c r="D618" i="11"/>
  <c r="D619" i="11"/>
  <c r="D706" i="11"/>
  <c r="D781" i="11"/>
  <c r="D958" i="11"/>
  <c r="D220" i="11"/>
  <c r="D461" i="11"/>
  <c r="D56" i="11"/>
  <c r="D387" i="11"/>
  <c r="D462" i="11"/>
  <c r="D878" i="11"/>
  <c r="D67" i="11"/>
  <c r="D405" i="11"/>
  <c r="D463" i="11"/>
  <c r="D539" i="11"/>
  <c r="D221" i="11"/>
  <c r="D879" i="11"/>
  <c r="D959" i="11"/>
  <c r="D389" i="11"/>
  <c r="D540" i="11"/>
  <c r="D736" i="11"/>
  <c r="D921" i="11"/>
  <c r="D541" i="11"/>
  <c r="D793" i="11"/>
  <c r="D880" i="11"/>
  <c r="D794" i="11"/>
  <c r="D185" i="11"/>
  <c r="D57" i="11"/>
  <c r="D223" i="11"/>
  <c r="D881" i="11"/>
  <c r="D620" i="11"/>
  <c r="D464" i="11"/>
  <c r="D542" i="11"/>
  <c r="D144" i="11"/>
  <c r="D707" i="11"/>
  <c r="D802" i="11"/>
  <c r="D224" i="11"/>
  <c r="D390" i="11"/>
  <c r="D961" i="11"/>
  <c r="D75" i="11"/>
  <c r="D993" i="11"/>
  <c r="D621" i="11"/>
  <c r="D189" i="11"/>
  <c r="D883" i="11"/>
  <c r="D312" i="11"/>
  <c r="D622" i="11"/>
  <c r="D884" i="11"/>
  <c r="D623" i="11"/>
  <c r="D624" i="11"/>
  <c r="D433" i="11"/>
  <c r="D709" i="11"/>
  <c r="D58" i="11"/>
  <c r="D710" i="11"/>
  <c r="D146" i="11"/>
  <c r="D147" i="11"/>
  <c r="D980" i="11"/>
  <c r="D465" i="11"/>
  <c r="D59" i="11"/>
  <c r="D313" i="11"/>
  <c r="D782" i="11"/>
  <c r="D626" i="11"/>
  <c r="D226" i="11"/>
  <c r="D466" i="11"/>
  <c r="D962" i="11"/>
  <c r="D227" i="11"/>
  <c r="D391" i="11"/>
  <c r="D791" i="11"/>
  <c r="D61" i="11"/>
  <c r="D467" i="11"/>
  <c r="D628" i="11"/>
  <c r="D286" i="11"/>
  <c r="D314" i="11"/>
  <c r="D228" i="11"/>
  <c r="D885" i="11"/>
  <c r="D229" i="11"/>
  <c r="D963" i="11"/>
  <c r="D315" i="11"/>
  <c r="D712" i="11"/>
  <c r="D316" i="11"/>
  <c r="D897" i="11"/>
  <c r="D392" i="11"/>
  <c r="D393" i="11"/>
  <c r="D543" i="11"/>
  <c r="D629" i="11"/>
  <c r="D634" i="11"/>
  <c r="D468" i="11"/>
  <c r="D63" i="11"/>
  <c r="D148" i="11"/>
  <c r="D566" i="11"/>
  <c r="D713" i="11"/>
  <c r="D630" i="11"/>
  <c r="D394" i="11"/>
  <c r="D149" i="11"/>
  <c r="D888" i="11"/>
  <c r="D714" i="11"/>
  <c r="D469" i="11"/>
  <c r="D230" i="11"/>
  <c r="D150" i="11"/>
  <c r="D889" i="11"/>
  <c r="D470" i="11"/>
  <c r="D795" i="11"/>
  <c r="D231" i="11"/>
  <c r="D882" i="11"/>
  <c r="D428" i="11"/>
  <c r="D796" i="11"/>
  <c r="D631" i="11"/>
  <c r="D890" i="11"/>
  <c r="D511" i="11"/>
  <c r="D318" i="11"/>
  <c r="D544" i="11"/>
  <c r="D891" i="11"/>
  <c r="D152" i="11"/>
  <c r="D153" i="11"/>
  <c r="D112" i="11"/>
  <c r="D154" i="11"/>
  <c r="D966" i="11"/>
  <c r="D632" i="11"/>
  <c r="D797" i="11"/>
  <c r="D715" i="11"/>
  <c r="D614" i="11"/>
  <c r="D395" i="11"/>
  <c r="D569" i="11"/>
  <c r="D708" i="11"/>
  <c r="D319" i="11"/>
  <c r="D968" i="11"/>
  <c r="D155" i="11"/>
  <c r="D156" i="11"/>
  <c r="D798" i="11"/>
  <c r="D472" i="11"/>
  <c r="D716" i="11"/>
  <c r="D835" i="11"/>
  <c r="D337" i="11"/>
  <c r="D970" i="11"/>
  <c r="D473" i="11"/>
  <c r="D907" i="11"/>
  <c r="D971" i="11"/>
  <c r="D918" i="11"/>
  <c r="D475" i="11"/>
  <c r="D546" i="11"/>
  <c r="D396" i="11"/>
  <c r="D592" i="11"/>
  <c r="D673" i="11"/>
  <c r="D892" i="11"/>
  <c r="D717" i="11"/>
  <c r="D66" i="11"/>
  <c r="D252" i="11"/>
  <c r="D206" i="11"/>
  <c r="D972" i="11"/>
  <c r="D477" i="11"/>
  <c r="D159" i="11"/>
  <c r="D232" i="11"/>
  <c r="D755" i="11"/>
  <c r="D718" i="11"/>
  <c r="D547" i="11"/>
  <c r="D64" i="11"/>
  <c r="D68" i="11"/>
  <c r="D799" i="11"/>
  <c r="D308" i="11"/>
  <c r="D69" i="11"/>
  <c r="D160" i="11"/>
  <c r="D478" i="11"/>
  <c r="D362" i="11"/>
  <c r="D636" i="11"/>
  <c r="D70" i="11"/>
  <c r="D597" i="11"/>
  <c r="D637" i="11"/>
  <c r="D975" i="11"/>
  <c r="D548" i="11"/>
  <c r="D317" i="11"/>
  <c r="D977" i="11"/>
  <c r="D479" i="11"/>
  <c r="D893" i="11"/>
  <c r="D864" i="11"/>
  <c r="D502" i="11"/>
  <c r="D639" i="11"/>
  <c r="D886" i="11"/>
  <c r="D235" i="11"/>
  <c r="D978" i="11"/>
  <c r="D640" i="11"/>
  <c r="D161" i="11"/>
  <c r="D800" i="11"/>
  <c r="D556" i="11"/>
  <c r="D979" i="11"/>
  <c r="D641" i="11"/>
  <c r="D895" i="11"/>
  <c r="D642" i="11"/>
  <c r="D550" i="11"/>
  <c r="D71" i="11"/>
  <c r="D72" i="11"/>
  <c r="D551" i="11"/>
  <c r="D73" i="11"/>
  <c r="D321" i="11"/>
  <c r="D552" i="11"/>
  <c r="D896" i="11"/>
  <c r="D719" i="11"/>
  <c r="D553" i="11"/>
  <c r="D480" i="11"/>
  <c r="D801" i="11"/>
  <c r="D554" i="11"/>
  <c r="D481" i="11"/>
  <c r="D720" i="11"/>
  <c r="D643" i="11"/>
  <c r="D887" i="11"/>
  <c r="D162" i="11"/>
  <c r="D397" i="11"/>
  <c r="D236" i="11"/>
  <c r="D163" i="11"/>
  <c r="D238" i="11"/>
  <c r="D644" i="11"/>
  <c r="D818" i="11"/>
  <c r="D77" i="11"/>
  <c r="D322" i="11"/>
  <c r="D164" i="11"/>
  <c r="D721" i="11"/>
  <c r="D205" i="11"/>
  <c r="D482" i="11"/>
  <c r="D130" i="11"/>
  <c r="D920" i="11"/>
  <c r="D1000" i="11"/>
  <c r="D483" i="11"/>
  <c r="D329" i="11"/>
  <c r="D78" i="11"/>
  <c r="D766" i="11"/>
  <c r="D555" i="11"/>
  <c r="D822" i="11"/>
  <c r="D645" i="11"/>
  <c r="D988" i="11"/>
  <c r="D80" i="11"/>
  <c r="D42" i="11"/>
  <c r="D981" i="11"/>
  <c r="D239" i="11"/>
  <c r="D722" i="11"/>
  <c r="D399" i="11"/>
  <c r="D158" i="11"/>
  <c r="D165" i="11"/>
  <c r="D357" i="11"/>
  <c r="D485" i="11"/>
  <c r="D828" i="11"/>
  <c r="D806" i="11"/>
  <c r="D807" i="11"/>
  <c r="D82" i="11"/>
  <c r="D808" i="11"/>
  <c r="D724" i="11"/>
  <c r="D587" i="11"/>
  <c r="D83" i="11"/>
  <c r="D240" i="11"/>
  <c r="D241" i="11"/>
  <c r="D400" i="11"/>
  <c r="D324" i="11"/>
  <c r="D379" i="11"/>
  <c r="D242" i="11"/>
  <c r="D85" i="11"/>
  <c r="D471" i="11"/>
  <c r="D166" i="11"/>
  <c r="D557" i="11"/>
  <c r="D982" i="11"/>
  <c r="D487" i="11"/>
  <c r="D86" i="11"/>
  <c r="D899" i="11"/>
  <c r="D167" i="11"/>
  <c r="D87" i="11"/>
  <c r="D488" i="11"/>
  <c r="D646" i="11"/>
  <c r="D558" i="11"/>
  <c r="D725" i="11"/>
  <c r="D647" i="11"/>
  <c r="D983" i="11"/>
  <c r="D222" i="11"/>
  <c r="D88" i="11"/>
  <c r="D489" i="11"/>
  <c r="D900" i="11"/>
  <c r="D649" i="11"/>
  <c r="D325" i="11"/>
  <c r="D984" i="11"/>
  <c r="D106" i="11"/>
  <c r="D244" i="11"/>
  <c r="D559" i="11"/>
  <c r="D560" i="11"/>
  <c r="D245" i="11"/>
  <c r="D809" i="11"/>
  <c r="D810" i="11"/>
  <c r="D901" i="11"/>
  <c r="D388" i="11"/>
  <c r="D1001" i="11"/>
  <c r="D326" i="11"/>
  <c r="D490" i="11"/>
  <c r="D168" i="11"/>
  <c r="D89" i="11"/>
  <c r="D811" i="11"/>
  <c r="D650" i="11"/>
  <c r="D812" i="11"/>
  <c r="D327" i="11"/>
  <c r="D726" i="11"/>
  <c r="D651" i="11"/>
  <c r="D491" i="11"/>
  <c r="D246" i="11"/>
  <c r="D169" i="11"/>
  <c r="D247" i="11"/>
  <c r="D170" i="11"/>
  <c r="D492" i="11"/>
  <c r="D248" i="11"/>
  <c r="D213" i="11"/>
  <c r="D997" i="11"/>
  <c r="D328" i="11"/>
  <c r="D401" i="11"/>
  <c r="D493" i="11"/>
  <c r="D561" i="11"/>
  <c r="D652" i="11"/>
  <c r="D986" i="11"/>
  <c r="D894" i="11"/>
  <c r="D653" i="11"/>
  <c r="D998" i="11"/>
  <c r="D377" i="11"/>
  <c r="D250" i="11"/>
  <c r="D960" i="11"/>
  <c r="D501" i="11"/>
  <c r="D330" i="11"/>
  <c r="D562" i="11"/>
  <c r="D495" i="11"/>
  <c r="D987" i="11"/>
  <c r="D140" i="11"/>
  <c r="D496" i="11"/>
  <c r="D402" i="11"/>
  <c r="D403" i="11"/>
  <c r="D331" i="11"/>
  <c r="D903" i="11"/>
  <c r="D439" i="11"/>
  <c r="D904" i="11"/>
  <c r="D404" i="11"/>
  <c r="D600" i="11"/>
  <c r="D727" i="11"/>
  <c r="D288" i="11"/>
  <c r="D989" i="11"/>
  <c r="D655" i="11"/>
  <c r="D171" i="11"/>
  <c r="D563" i="11"/>
  <c r="D728" i="11"/>
  <c r="D905" i="11"/>
  <c r="D497" i="11"/>
  <c r="D990" i="11"/>
  <c r="D302" i="11"/>
  <c r="D253" i="11"/>
  <c r="D233" i="11"/>
  <c r="D527" i="11"/>
  <c r="D729" i="11"/>
  <c r="D118" i="11"/>
  <c r="D254" i="11"/>
  <c r="D564" i="11"/>
  <c r="D908" i="11"/>
  <c r="D93" i="11"/>
  <c r="D94" i="11"/>
  <c r="D633" i="11"/>
  <c r="D770" i="11"/>
  <c r="D217" i="11"/>
  <c r="D991" i="11"/>
  <c r="D95" i="11"/>
  <c r="D255" i="11"/>
  <c r="D97" i="11"/>
  <c r="D98" i="11"/>
  <c r="D815" i="11"/>
  <c r="D656" i="11"/>
  <c r="D974" i="11"/>
  <c r="D407" i="11"/>
  <c r="D172" i="11"/>
  <c r="D524" i="11"/>
  <c r="D992" i="11"/>
  <c r="D498" i="11"/>
  <c r="D867" i="11"/>
  <c r="D333" i="11"/>
  <c r="D909" i="11"/>
  <c r="D353" i="11"/>
  <c r="D816" i="11"/>
  <c r="D910" i="11"/>
  <c r="D817" i="11"/>
  <c r="D256" i="11"/>
  <c r="D567" i="11"/>
  <c r="D408" i="11"/>
  <c r="D173" i="11"/>
  <c r="D91" i="11"/>
  <c r="D411" i="11"/>
  <c r="D994" i="11"/>
  <c r="D174" i="11"/>
  <c r="D409" i="11"/>
  <c r="D568" i="11"/>
  <c r="D659" i="11"/>
  <c r="D175" i="11"/>
  <c r="D334" i="11"/>
  <c r="D512" i="11"/>
  <c r="D995" i="11"/>
  <c r="D486" i="11"/>
  <c r="D913" i="11"/>
  <c r="D996" i="11"/>
  <c r="D660" i="11"/>
  <c r="D499" i="11"/>
  <c r="D204" i="11"/>
  <c r="D661" i="11"/>
  <c r="D627" i="11"/>
  <c r="D101" i="11"/>
  <c r="D500" i="11"/>
  <c r="D338" i="11"/>
  <c r="D936" i="11"/>
  <c r="D335" i="11"/>
  <c r="D336" i="11"/>
  <c r="D730" i="11"/>
  <c r="D132" i="11"/>
  <c r="D948" i="11"/>
  <c r="D662" i="11"/>
  <c r="D102" i="11"/>
  <c r="D1004" i="11" l="1"/>
  <c r="D1003" i="11"/>
  <c r="D1002" i="11"/>
  <c r="D1005" i="11" s="1"/>
</calcChain>
</file>

<file path=xl/sharedStrings.xml><?xml version="1.0" encoding="utf-8"?>
<sst xmlns="http://schemas.openxmlformats.org/spreadsheetml/2006/main" count="14084" uniqueCount="87">
  <si>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</si>
  <si>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</si>
  <si>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</si>
  <si>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</si>
  <si>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</si>
  <si>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</si>
  <si>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</si>
  <si>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</si>
  <si>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</si>
  <si>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</si>
  <si>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</si>
  <si>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</si>
  <si>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</si>
  <si>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</si>
  <si>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</si>
  <si>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</si>
  <si>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</si>
  <si>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</si>
  <si>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</si>
  <si>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</si>
  <si>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</si>
  <si>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</si>
  <si>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</si>
  <si>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</si>
  <si>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</si>
  <si>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</si>
  <si>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</si>
  <si>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</si>
  <si>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</si>
  <si>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</si>
  <si>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</si>
  <si>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</si>
  <si>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</si>
  <si>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</si>
  <si>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</si>
  <si>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</si>
  <si>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</si>
  <si>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</si>
  <si>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</si>
  <si>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</si>
  <si>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</si>
  <si>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</si>
  <si>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</si>
  <si>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</si>
  <si>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</si>
  <si>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</si>
  <si>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</si>
  <si>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</si>
  <si>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</si>
  <si>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</si>
  <si>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</si>
  <si>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</si>
  <si>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</si>
  <si>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</si>
  <si>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Sales Rep</t>
  </si>
  <si>
    <t>Customer Type</t>
  </si>
  <si>
    <t>Sales Amount</t>
  </si>
  <si>
    <t>(All)</t>
  </si>
  <si>
    <t>Sum of Sales Amount</t>
  </si>
  <si>
    <t>Total Quantity Sold</t>
  </si>
  <si>
    <t>Month</t>
  </si>
  <si>
    <t>Payment Method</t>
  </si>
  <si>
    <t>Feb 2023</t>
  </si>
  <si>
    <t>Apr 2023</t>
  </si>
  <si>
    <t>Sep 2023</t>
  </si>
  <si>
    <t>Aug 2023</t>
  </si>
  <si>
    <t>Mar 2023</t>
  </si>
  <si>
    <t>Jan 2023</t>
  </si>
  <si>
    <t>Jun 2023</t>
  </si>
  <si>
    <t>Oct 2023</t>
  </si>
  <si>
    <t>Nov 2023</t>
  </si>
  <si>
    <t>Dec 2023</t>
  </si>
  <si>
    <t>May 2023</t>
  </si>
  <si>
    <t>Jul 2023</t>
  </si>
  <si>
    <t>Jan 2024</t>
  </si>
  <si>
    <t>Quantity Sold</t>
  </si>
  <si>
    <t>Product Category</t>
  </si>
  <si>
    <t>Unit Price</t>
  </si>
  <si>
    <t>Sales Channel</t>
  </si>
  <si>
    <t>Average Discount(%)</t>
  </si>
  <si>
    <t>Total Sales Amount</t>
  </si>
  <si>
    <t xml:space="preserve">Total Sales Amount </t>
  </si>
  <si>
    <t xml:space="preserve">Customer Type </t>
  </si>
  <si>
    <t>Count of Payment Method</t>
  </si>
  <si>
    <t xml:space="preserve">Payment Method </t>
  </si>
  <si>
    <t xml:space="preserve">Quantity Sold </t>
  </si>
  <si>
    <t xml:space="preserve">Month_Year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</si>
</sst>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
    <numFmt numFmtId="165" formatCode="[&gt;=1000000]0.0,,&quot;M&quot;;[&gt;=1000]0.0,&quot;K&quot;;0"/>
    <numFmt numFmtId="166" formatCode="[&gt;=1000000]\$0.0,,&quot;M&quot;;[&gt;=1000]\$0.0,&quot;K&quot;;0"/>
    <numFmt numFmtId="167" formatCode="[$]dddd\,\ mmmm\ d\,\ yyyy;@" x16r2:formatCode16="[$-en-NG,1]dddd\,\ mmmm\ 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Display"/>
      <family val="2"/>
    </font>
    <font>
      <sz val="11"/>
      <color theme="0"/>
      <name val="Aptos Display"/>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9" fontId="0" fillId="0" borderId="0" xfId="0" applyNumberFormat="1"/>
    <xf numFmtId="0" fontId="0" fillId="0" borderId="0" xfId="0" applyAlignment="1">
      <alignment horizontal="left"/>
    </xf>
    <xf numFmtId="1" fontId="0" fillId="0" borderId="0" xfId="0" applyNumberFormat="1"/>
    <xf numFmtId="164" fontId="18" fillId="0" borderId="0" xfId="0" applyNumberFormat="1" applyFont="1"/>
    <xf numFmtId="9" fontId="0" fillId="0" borderId="0" xfId="42" applyFont="1"/>
    <xf numFmtId="0" fontId="17" fillId="33" borderId="0" xfId="0" applyFont="1" applyFill="1"/>
    <xf numFmtId="164" fontId="19" fillId="33" borderId="0" xfId="0" applyNumberFormat="1" applyFont="1" applyFill="1"/>
    <xf numFmtId="164" fontId="0" fillId="0" borderId="0" xfId="0" applyNumberFormat="1"/>
    <xf numFmtId="0" fontId="16" fillId="34" borderId="10" xfId="0" applyFont="1" applyFill="1" applyBorder="1"/>
    <xf numFmtId="165" fontId="0" fillId="0" borderId="0" xfId="0" applyNumberFormat="1"/>
    <xf numFmtId="166" fontId="0" fillId="0" borderId="0" xfId="0" applyNumberFormat="1"/>
    <xf numFmtId="167" fontId="0" fillId="0" borderId="0" xfId="0" applyNumberFormat="1"/>
    <xf numFmtId="164" fontId="16" fillId="0" borderId="0" xfId="0" applyNumberFormat="1" applyFont="1"/>
    <xf numFmtId="0" fontId="16"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66" formatCode="[&gt;=1000000]\$0.0,,&quot;M&quot;;[&gt;=1000]\$0.0,&quot;K&quot;;0"/>
    </dxf>
    <dxf>
      <numFmt numFmtId="165"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font>
        <b/>
      </font>
    </dxf>
    <dxf>
      <numFmt numFmtId="166" formatCode="[&gt;=1000000]\$0.0,,&quot;M&quot;;[&gt;=1000]\$0.0,&quot;K&quot;;0"/>
    </dxf>
    <dxf>
      <numFmt numFmtId="166" formatCode="[&gt;=1000000]\$0.0,,&quot;M&quot;;[&gt;=1000]\$0.0,&quot;K&quot;;0"/>
    </dxf>
    <dxf>
      <font>
        <b/>
        <i val="0"/>
        <color theme="1"/>
        <name val="Arial"/>
        <family val="2"/>
        <scheme val="none"/>
      </font>
      <border diagonalUp="0" diagonalDown="0">
        <left/>
        <right/>
        <top/>
        <bottom/>
        <vertical/>
        <horizontal/>
      </border>
    </dxf>
    <dxf>
      <font>
        <b val="0"/>
        <i val="0"/>
        <color theme="1"/>
        <name val="Arial"/>
        <family val="2"/>
        <scheme val="none"/>
      </font>
      <fill>
        <patternFill patternType="none">
          <fgColor auto="1"/>
          <bgColor auto="1"/>
        </patternFill>
      </fill>
      <border diagonalUp="0" diagonalDown="0">
        <left/>
        <right/>
        <top/>
        <bottom/>
        <vertical/>
        <horizontal/>
      </border>
    </dxf>
  </dxfs>
  <tableStyles count="1" defaultTableStyle="TableStyleMedium2" defaultPivotStyle="PivotStyleLight16">
    <tableStyle name="SlicerStyleLight1 2" pivot="0" table="0" count="10" xr9:uid="{BBA9B829-7E78-4052-9E5F-FE48D59A3974}">
      <tableStyleElement type="wholeTable" dxfId="9"/>
      <tableStyleElement type="headerRow" dxfId="8"/>
    </tableStyle>
  </tableStyles>
  <colors>
    <mruColors>
      <color rgb="FF00E094"/>
      <color rgb="FFFFFFFF"/>
      <color rgb="FFFAFBFD"/>
      <color rgb="FFD8F0D6"/>
      <color rgb="FFE8F6FF"/>
      <color rgb="FF419FDF"/>
      <color rgb="FF58DBAF"/>
      <color rgb="FF2394E0"/>
      <color rgb="FF79E5C1"/>
      <color rgb="FF0196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5" tint="0.80001220740379042"/>
              </stop>
              <stop position="1">
                <color theme="4" tint="0.80001220740379042"/>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gradientFill degree="135">
              <stop position="0">
                <color theme="5" tint="0.80001220740379042"/>
              </stop>
              <stop position="1">
                <color theme="4" tint="0.59999389629810485"/>
              </stop>
            </gradientFill>
          </fill>
          <border diagonalUp="0" diagonalDown="0">
            <left/>
            <right/>
            <top/>
            <bottom/>
            <vertical/>
            <horizontal/>
          </border>
        </dxf>
        <dxf>
          <font>
            <color rgb="FF000000"/>
          </font>
          <fill>
            <gradientFill degree="135">
              <stop position="0">
                <color theme="5" tint="0.80001220740379042"/>
              </stop>
              <stop position="1">
                <color theme="4" tint="0.40000610370189521"/>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Dashboard.xlsx]Analysis!Product by avg. discount</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E0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rgbClr val="FACD1C"/>
            </a:solidFill>
            <a:round/>
          </a:ln>
          <a:effectLst/>
        </c:spPr>
        <c:marker>
          <c:symbol val="circle"/>
          <c:size val="5"/>
          <c:spPr>
            <a:solidFill>
              <a:srgbClr val="FBFAFF"/>
            </a:solidFill>
            <a:ln w="12700">
              <a:solidFill>
                <a:srgbClr val="FACD1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E0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cap="rnd">
            <a:solidFill>
              <a:srgbClr val="FACD1C"/>
            </a:solidFill>
            <a:round/>
          </a:ln>
          <a:effectLst/>
        </c:spPr>
        <c:marker>
          <c:symbol val="circle"/>
          <c:size val="5"/>
          <c:spPr>
            <a:solidFill>
              <a:srgbClr val="FBFAFF"/>
            </a:solidFill>
            <a:ln w="12700">
              <a:solidFill>
                <a:srgbClr val="FACD1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96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cap="rnd">
            <a:solidFill>
              <a:srgbClr val="FACD1C"/>
            </a:solidFill>
            <a:round/>
          </a:ln>
          <a:effectLst/>
        </c:spPr>
        <c:marker>
          <c:symbol val="circle"/>
          <c:size val="5"/>
          <c:spPr>
            <a:solidFill>
              <a:srgbClr val="FBFAFF"/>
            </a:solidFill>
            <a:ln w="12700">
              <a:solidFill>
                <a:srgbClr val="FACD1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E094"/>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850168E2-6F51-4C81-8D3C-8D99A2E6B9F1}" type="VALUE">
                  <a:rPr lang="en-US" b="1"/>
                  <a:pPr>
                    <a:defRPr sz="800" b="1"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0196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E094"/>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850168E2-6F51-4C81-8D3C-8D99A2E6B9F1}" type="VALUE">
                  <a:rPr lang="en-US" b="1"/>
                  <a:pPr>
                    <a:defRPr sz="800" b="1"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2700" cap="rnd">
            <a:solidFill>
              <a:srgbClr val="FACD1C"/>
            </a:solidFill>
            <a:round/>
          </a:ln>
          <a:effectLst/>
        </c:spPr>
        <c:marker>
          <c:symbol val="circle"/>
          <c:size val="5"/>
          <c:spPr>
            <a:solidFill>
              <a:srgbClr val="FBFAFF"/>
            </a:solidFill>
            <a:ln w="12700">
              <a:solidFill>
                <a:srgbClr val="FACD1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196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E094"/>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850168E2-6F51-4C81-8D3C-8D99A2E6B9F1}" type="VALUE">
                  <a:rPr lang="en-US" b="1"/>
                  <a:pPr>
                    <a:defRPr sz="800" b="1"/>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ln w="12700" cap="rnd">
            <a:solidFill>
              <a:srgbClr val="FACD1C"/>
            </a:solidFill>
            <a:round/>
          </a:ln>
          <a:effectLst/>
        </c:spPr>
        <c:marker>
          <c:symbol val="circle"/>
          <c:size val="5"/>
          <c:spPr>
            <a:solidFill>
              <a:srgbClr val="FBFAFF"/>
            </a:solidFill>
            <a:ln w="12700">
              <a:solidFill>
                <a:srgbClr val="FACD1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196FA"/>
          </a:solidFill>
          <a:ln>
            <a:noFill/>
          </a:ln>
          <a:effectLst/>
        </c:spPr>
        <c:dLbl>
          <c:idx val="0"/>
          <c:layout>
            <c:manualLayout>
              <c:x val="-1.1894969373916489E-16"/>
              <c:y val="0.17287985598658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2267184956308"/>
          <c:y val="8.7876169324988221E-2"/>
          <c:w val="0.70928967739792015"/>
          <c:h val="0.66419112995490959"/>
        </c:manualLayout>
      </c:layout>
      <c:barChart>
        <c:barDir val="col"/>
        <c:grouping val="clustered"/>
        <c:varyColors val="0"/>
        <c:ser>
          <c:idx val="0"/>
          <c:order val="0"/>
          <c:tx>
            <c:strRef>
              <c:f>Analysis!$E$7</c:f>
              <c:strCache>
                <c:ptCount val="1"/>
                <c:pt idx="0">
                  <c:v>Sum of Sales Amount</c:v>
                </c:pt>
              </c:strCache>
            </c:strRef>
          </c:tx>
          <c:spPr>
            <a:solidFill>
              <a:srgbClr val="0196FA"/>
            </a:solidFill>
            <a:ln>
              <a:noFill/>
            </a:ln>
            <a:effectLst/>
          </c:spPr>
          <c:invertIfNegative val="0"/>
          <c:dPt>
            <c:idx val="0"/>
            <c:invertIfNegative val="0"/>
            <c:bubble3D val="0"/>
            <c:spPr>
              <a:solidFill>
                <a:srgbClr val="00E094"/>
              </a:solidFill>
              <a:ln>
                <a:noFill/>
              </a:ln>
              <a:effectLst/>
            </c:spPr>
            <c:extLst>
              <c:ext xmlns:c16="http://schemas.microsoft.com/office/drawing/2014/chart" uri="{C3380CC4-5D6E-409C-BE32-E72D297353CC}">
                <c16:uniqueId val="{00000001-1A16-43E8-B05E-C8600C6E4B4A}"/>
              </c:ext>
            </c:extLst>
          </c:dPt>
          <c:dPt>
            <c:idx val="2"/>
            <c:invertIfNegative val="0"/>
            <c:bubble3D val="0"/>
            <c:extLst>
              <c:ext xmlns:c16="http://schemas.microsoft.com/office/drawing/2014/chart" uri="{C3380CC4-5D6E-409C-BE32-E72D297353CC}">
                <c16:uniqueId val="{00000004-1A16-43E8-B05E-C8600C6E4B4A}"/>
              </c:ext>
            </c:extLst>
          </c:dPt>
          <c:dLbls>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850168E2-6F51-4C81-8D3C-8D99A2E6B9F1}" type="VALUE">
                      <a:rPr lang="en-US" b="1"/>
                      <a:pPr>
                        <a:defRPr sz="800" b="1"/>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16-43E8-B05E-C8600C6E4B4A}"/>
                </c:ext>
              </c:extLst>
            </c:dLbl>
            <c:dLbl>
              <c:idx val="2"/>
              <c:layout>
                <c:manualLayout>
                  <c:x val="-1.1894969373916489E-16"/>
                  <c:y val="0.17287985598658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16-43E8-B05E-C8600C6E4B4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Analysis!$D$8:$D$11</c:f>
              <c:strCache>
                <c:ptCount val="4"/>
                <c:pt idx="0">
                  <c:v>Clothing</c:v>
                </c:pt>
                <c:pt idx="1">
                  <c:v>Furniture</c:v>
                </c:pt>
                <c:pt idx="2">
                  <c:v>Electronics</c:v>
                </c:pt>
                <c:pt idx="3">
                  <c:v>Food</c:v>
                </c:pt>
              </c:strCache>
            </c:strRef>
          </c:cat>
          <c:val>
            <c:numRef>
              <c:f>Analysis!$E$8:$E$11</c:f>
              <c:numCache>
                <c:formatCode>[&gt;=1000000]\$0.0,,"M";[&gt;=1000]\$0.0,"K";0</c:formatCode>
                <c:ptCount val="4"/>
                <c:pt idx="0">
                  <c:v>16360844.624699995</c:v>
                </c:pt>
                <c:pt idx="1">
                  <c:v>15363777.142799992</c:v>
                </c:pt>
                <c:pt idx="2">
                  <c:v>15153225.28539999</c:v>
                </c:pt>
                <c:pt idx="3">
                  <c:v>12808326.230800001</c:v>
                </c:pt>
              </c:numCache>
            </c:numRef>
          </c:val>
          <c:extLst>
            <c:ext xmlns:c16="http://schemas.microsoft.com/office/drawing/2014/chart" uri="{C3380CC4-5D6E-409C-BE32-E72D297353CC}">
              <c16:uniqueId val="{00000002-1A16-43E8-B05E-C8600C6E4B4A}"/>
            </c:ext>
          </c:extLst>
        </c:ser>
        <c:dLbls>
          <c:showLegendKey val="0"/>
          <c:showVal val="0"/>
          <c:showCatName val="0"/>
          <c:showSerName val="0"/>
          <c:showPercent val="0"/>
          <c:showBubbleSize val="0"/>
        </c:dLbls>
        <c:gapWidth val="131"/>
        <c:overlap val="-27"/>
        <c:axId val="1231976720"/>
        <c:axId val="1231977200"/>
      </c:barChart>
      <c:lineChart>
        <c:grouping val="standard"/>
        <c:varyColors val="0"/>
        <c:ser>
          <c:idx val="1"/>
          <c:order val="1"/>
          <c:tx>
            <c:strRef>
              <c:f>Analysis!$F$7</c:f>
              <c:strCache>
                <c:ptCount val="1"/>
                <c:pt idx="0">
                  <c:v>Average Discount(%)</c:v>
                </c:pt>
              </c:strCache>
            </c:strRef>
          </c:tx>
          <c:spPr>
            <a:ln w="12700" cap="rnd">
              <a:solidFill>
                <a:srgbClr val="FACD1C"/>
              </a:solidFill>
              <a:round/>
            </a:ln>
            <a:effectLst/>
          </c:spPr>
          <c:marker>
            <c:symbol val="circle"/>
            <c:size val="5"/>
            <c:spPr>
              <a:solidFill>
                <a:srgbClr val="FBFAFF"/>
              </a:solidFill>
              <a:ln w="12700">
                <a:solidFill>
                  <a:srgbClr val="FACD1C"/>
                </a:solidFill>
              </a:ln>
              <a:effectLst/>
            </c:spPr>
          </c:marker>
          <c:cat>
            <c:strRef>
              <c:f>Analysis!$D$8:$D$11</c:f>
              <c:strCache>
                <c:ptCount val="4"/>
                <c:pt idx="0">
                  <c:v>Clothing</c:v>
                </c:pt>
                <c:pt idx="1">
                  <c:v>Furniture</c:v>
                </c:pt>
                <c:pt idx="2">
                  <c:v>Electronics</c:v>
                </c:pt>
                <c:pt idx="3">
                  <c:v>Food</c:v>
                </c:pt>
              </c:strCache>
            </c:strRef>
          </c:cat>
          <c:val>
            <c:numRef>
              <c:f>Analysis!$F$8:$F$11</c:f>
              <c:numCache>
                <c:formatCode>0%</c:formatCode>
                <c:ptCount val="4"/>
                <c:pt idx="0">
                  <c:v>0.16022388059701501</c:v>
                </c:pt>
                <c:pt idx="1">
                  <c:v>0.15811538461538457</c:v>
                </c:pt>
                <c:pt idx="2">
                  <c:v>0.13650406504065041</c:v>
                </c:pt>
                <c:pt idx="3">
                  <c:v>0.15380530973451337</c:v>
                </c:pt>
              </c:numCache>
            </c:numRef>
          </c:val>
          <c:smooth val="1"/>
          <c:extLst>
            <c:ext xmlns:c16="http://schemas.microsoft.com/office/drawing/2014/chart" uri="{C3380CC4-5D6E-409C-BE32-E72D297353CC}">
              <c16:uniqueId val="{00000003-1A16-43E8-B05E-C8600C6E4B4A}"/>
            </c:ext>
          </c:extLst>
        </c:ser>
        <c:dLbls>
          <c:showLegendKey val="0"/>
          <c:showVal val="0"/>
          <c:showCatName val="0"/>
          <c:showSerName val="0"/>
          <c:showPercent val="0"/>
          <c:showBubbleSize val="0"/>
        </c:dLbls>
        <c:marker val="1"/>
        <c:smooth val="0"/>
        <c:axId val="1232002640"/>
        <c:axId val="1231962800"/>
      </c:lineChart>
      <c:catAx>
        <c:axId val="12319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231977200"/>
        <c:crosses val="autoZero"/>
        <c:auto val="1"/>
        <c:lblAlgn val="ctr"/>
        <c:lblOffset val="100"/>
        <c:noMultiLvlLbl val="0"/>
      </c:catAx>
      <c:valAx>
        <c:axId val="123197720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1976720"/>
        <c:crosses val="autoZero"/>
        <c:crossBetween val="between"/>
      </c:valAx>
      <c:valAx>
        <c:axId val="1231962800"/>
        <c:scaling>
          <c:orientation val="minMax"/>
          <c:max val="0.2"/>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2002640"/>
        <c:crosses val="max"/>
        <c:crossBetween val="between"/>
      </c:valAx>
      <c:catAx>
        <c:axId val="1232002640"/>
        <c:scaling>
          <c:orientation val="minMax"/>
        </c:scaling>
        <c:delete val="1"/>
        <c:axPos val="b"/>
        <c:numFmt formatCode="General" sourceLinked="1"/>
        <c:majorTickMark val="out"/>
        <c:minorTickMark val="none"/>
        <c:tickLblPos val="nextTo"/>
        <c:crossAx val="1231962800"/>
        <c:crosses val="autoZero"/>
        <c:auto val="1"/>
        <c:lblAlgn val="ctr"/>
        <c:lblOffset val="100"/>
        <c:noMultiLvlLbl val="0"/>
      </c:catAx>
      <c:spPr>
        <a:noFill/>
        <a:ln>
          <a:noFill/>
        </a:ln>
        <a:effectLst/>
      </c:spPr>
    </c:plotArea>
    <c:legend>
      <c:legendPos val="b"/>
      <c:layout>
        <c:manualLayout>
          <c:xMode val="edge"/>
          <c:yMode val="edge"/>
          <c:x val="8.6870397957012124E-2"/>
          <c:y val="0.88878735081015681"/>
          <c:w val="0.86229524012201175"/>
          <c:h val="0.10089654268928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Dashboard.xlsx]Analysis!Montly sales trend</c:name>
    <c:fmtId val="9"/>
  </c:pivotSource>
  <c:chart>
    <c:autoTitleDeleted val="1"/>
    <c:pivotFmts>
      <c:pivotFmt>
        <c:idx val="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layout>
            <c:manualLayout>
              <c:x val="-6.5279965004375468E-3"/>
              <c:y val="-8.792833187518234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6624890638670168E-2"/>
                  <c:h val="9.2523330417031202E-2"/>
                </c:manualLayout>
              </c15:layout>
            </c:ext>
          </c:extLst>
        </c:dLbl>
      </c:pivotFmt>
      <c:pivotFmt>
        <c:idx val="28"/>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layout>
            <c:manualLayout>
              <c:x val="-1.2159237067478118E-3"/>
              <c:y val="-8.79281411067139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6624890638670168E-2"/>
                  <c:h val="9.2523330417031202E-2"/>
                </c:manualLayout>
              </c15:layout>
            </c:ext>
          </c:extLst>
        </c:dLbl>
      </c:pivotFmt>
      <c:pivotFmt>
        <c:idx val="4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6"/>
          <c:spPr>
            <a:solidFill>
              <a:srgbClr val="E8F6FF"/>
            </a:solidFill>
            <a:ln w="9525">
              <a:solidFill>
                <a:schemeClr val="accent1"/>
              </a:solidFill>
            </a:ln>
            <a:effectLst/>
          </c:spPr>
        </c:marker>
        <c:dLbl>
          <c:idx val="0"/>
          <c:layout>
            <c:manualLayout>
              <c:x val="-1.2159237067478118E-3"/>
              <c:y val="-8.79281411067139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6624890638670168E-2"/>
                  <c:h val="9.2523330417031202E-2"/>
                </c:manualLayout>
              </c15:layout>
            </c:ext>
          </c:extLst>
        </c:dLbl>
      </c:pivotFmt>
      <c:pivotFmt>
        <c:idx val="56"/>
        <c:spPr>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6"/>
          <c:spPr>
            <a:solidFill>
              <a:srgbClr val="E8F6FF"/>
            </a:solidFill>
            <a:ln w="9525">
              <a:solidFill>
                <a:schemeClr val="accent1"/>
              </a:solidFill>
            </a:ln>
            <a:effectLst/>
          </c:spPr>
        </c:marker>
        <c:dLbl>
          <c:idx val="0"/>
          <c:layout>
            <c:manualLayout>
              <c:x val="-7.5281488690318206E-3"/>
              <c:y val="-3.948536238675565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rgbClr val="00B050"/>
            </a:solidFill>
            <a:round/>
          </a:ln>
          <a:effectLst/>
        </c:spPr>
        <c:marker>
          <c:symbol val="circle"/>
          <c:size val="6"/>
          <c:spPr>
            <a:solidFill>
              <a:srgbClr val="E8F6FF"/>
            </a:solidFill>
            <a:ln w="9525">
              <a:solidFill>
                <a:schemeClr val="accent1"/>
              </a:solidFill>
            </a:ln>
            <a:effectLst/>
          </c:spPr>
        </c:marker>
      </c:pivotFmt>
      <c:pivotFmt>
        <c:idx val="59"/>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0"/>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1"/>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2"/>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3"/>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4"/>
        <c:spPr>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6"/>
        <c:spPr>
          <a:ln w="28575" cap="rnd">
            <a:solidFill>
              <a:schemeClr val="accent1"/>
            </a:solidFill>
            <a:round/>
          </a:ln>
          <a:effectLst/>
        </c:spPr>
        <c:marker>
          <c:symbol val="circle"/>
          <c:size val="6"/>
          <c:spPr>
            <a:solidFill>
              <a:srgbClr val="E8F6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8"/>
        <c:spPr>
          <a:ln w="28575" cap="rnd">
            <a:solidFill>
              <a:schemeClr val="accent1"/>
            </a:solidFill>
            <a:round/>
          </a:ln>
          <a:effectLst/>
        </c:spPr>
        <c:marker>
          <c:symbol val="circle"/>
          <c:size val="6"/>
          <c:spPr>
            <a:solidFill>
              <a:srgbClr val="E8F6FF"/>
            </a:solidFill>
            <a:ln w="9525">
              <a:solidFill>
                <a:schemeClr val="accent1"/>
              </a:solidFill>
            </a:ln>
            <a:effectLst/>
          </c:spPr>
        </c:marker>
      </c:pivotFmt>
      <c:pivotFmt>
        <c:idx val="69"/>
        <c:spPr>
          <a:ln w="28575" cap="rnd">
            <a:solidFill>
              <a:srgbClr val="C00000"/>
            </a:solidFill>
            <a:round/>
          </a:ln>
          <a:effectLst/>
        </c:spPr>
        <c:marker>
          <c:symbol val="circle"/>
          <c:size val="6"/>
          <c:spPr>
            <a:solidFill>
              <a:srgbClr val="E8F6FF"/>
            </a:solidFill>
            <a:ln w="9525">
              <a:solidFill>
                <a:schemeClr val="accent1"/>
              </a:solidFill>
            </a:ln>
            <a:effectLst/>
          </c:spPr>
        </c:marker>
        <c:dLbl>
          <c:idx val="0"/>
          <c:layout>
            <c:manualLayout>
              <c:x val="-5.8144799315815864E-2"/>
              <c:y val="-3.2249854106121113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6624890638670168E-2"/>
                  <c:h val="9.2523330417031202E-2"/>
                </c:manualLayout>
              </c15:layout>
            </c:ext>
          </c:extLst>
        </c:dLbl>
      </c:pivotFmt>
    </c:pivotFmts>
    <c:plotArea>
      <c:layout>
        <c:manualLayout>
          <c:layoutTarget val="inner"/>
          <c:xMode val="edge"/>
          <c:yMode val="edge"/>
          <c:x val="0.12133085611489573"/>
          <c:y val="9.1746971604944397E-2"/>
          <c:w val="0.85170285175027283"/>
          <c:h val="0.7409105254816829"/>
        </c:manualLayout>
      </c:layout>
      <c:lineChart>
        <c:grouping val="standard"/>
        <c:varyColors val="0"/>
        <c:ser>
          <c:idx val="0"/>
          <c:order val="0"/>
          <c:tx>
            <c:strRef>
              <c:f>Analysis!$K$4</c:f>
              <c:strCache>
                <c:ptCount val="1"/>
                <c:pt idx="0">
                  <c:v>Total</c:v>
                </c:pt>
              </c:strCache>
            </c:strRef>
          </c:tx>
          <c:spPr>
            <a:ln w="28575" cap="rnd">
              <a:solidFill>
                <a:schemeClr val="accent1"/>
              </a:solidFill>
              <a:round/>
            </a:ln>
            <a:effectLst/>
          </c:spPr>
          <c:marker>
            <c:symbol val="circle"/>
            <c:size val="6"/>
            <c:spPr>
              <a:solidFill>
                <a:srgbClr val="E8F6FF"/>
              </a:solidFill>
              <a:ln w="9525">
                <a:solidFill>
                  <a:schemeClr val="accent1"/>
                </a:solidFill>
              </a:ln>
              <a:effectLst/>
            </c:spPr>
          </c:marker>
          <c:dPt>
            <c:idx val="0"/>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84E6-4565-9A70-125EA2644C50}"/>
              </c:ext>
            </c:extLst>
          </c:dPt>
          <c:dPt>
            <c:idx val="1"/>
            <c:marker>
              <c:symbol val="circle"/>
              <c:size val="6"/>
              <c:spPr>
                <a:solidFill>
                  <a:srgbClr val="E8F6FF"/>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1-84E6-4565-9A70-125EA2644C50}"/>
              </c:ext>
            </c:extLst>
          </c:dPt>
          <c:dPt>
            <c:idx val="2"/>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84E6-4565-9A70-125EA2644C50}"/>
              </c:ext>
            </c:extLst>
          </c:dPt>
          <c:dPt>
            <c:idx val="3"/>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84E6-4565-9A70-125EA2644C50}"/>
              </c:ext>
            </c:extLst>
          </c:dPt>
          <c:dPt>
            <c:idx val="4"/>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84E6-4565-9A70-125EA2644C50}"/>
              </c:ext>
            </c:extLst>
          </c:dPt>
          <c:dPt>
            <c:idx val="5"/>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84E6-4565-9A70-125EA2644C50}"/>
              </c:ext>
            </c:extLst>
          </c:dPt>
          <c:dPt>
            <c:idx val="6"/>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84E6-4565-9A70-125EA2644C50}"/>
              </c:ext>
            </c:extLst>
          </c:dPt>
          <c:dPt>
            <c:idx val="7"/>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84E6-4565-9A70-125EA2644C50}"/>
              </c:ext>
            </c:extLst>
          </c:dPt>
          <c:dPt>
            <c:idx val="8"/>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84E6-4565-9A70-125EA2644C50}"/>
              </c:ext>
            </c:extLst>
          </c:dPt>
          <c:dPt>
            <c:idx val="9"/>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84E6-4565-9A70-125EA2644C50}"/>
              </c:ext>
            </c:extLst>
          </c:dPt>
          <c:dPt>
            <c:idx val="10"/>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84E6-4565-9A70-125EA2644C50}"/>
              </c:ext>
            </c:extLst>
          </c:dPt>
          <c:dPt>
            <c:idx val="11"/>
            <c:marker>
              <c:symbol val="circle"/>
              <c:size val="6"/>
              <c:spPr>
                <a:solidFill>
                  <a:srgbClr val="E8F6FF"/>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84E6-4565-9A70-125EA2644C50}"/>
              </c:ext>
            </c:extLst>
          </c:dPt>
          <c:dPt>
            <c:idx val="12"/>
            <c:marker>
              <c:symbol val="circle"/>
              <c:size val="6"/>
              <c:spPr>
                <a:solidFill>
                  <a:srgbClr val="E8F6FF"/>
                </a:solidFill>
                <a:ln w="9525">
                  <a:solidFill>
                    <a:schemeClr val="accent1"/>
                  </a:solidFill>
                </a:ln>
                <a:effectLst/>
              </c:spPr>
            </c:marker>
            <c:bubble3D val="0"/>
            <c:spPr>
              <a:ln w="28575" cap="rnd">
                <a:solidFill>
                  <a:srgbClr val="C00000"/>
                </a:solidFill>
                <a:round/>
              </a:ln>
              <a:effectLst/>
            </c:spPr>
            <c:extLst>
              <c:ext xmlns:c16="http://schemas.microsoft.com/office/drawing/2014/chart" uri="{C3380CC4-5D6E-409C-BE32-E72D297353CC}">
                <c16:uniqueId val="{0000000C-84E6-4565-9A70-125EA2644C50}"/>
              </c:ext>
            </c:extLst>
          </c:dPt>
          <c:dLbls>
            <c:dLbl>
              <c:idx val="0"/>
              <c:layout>
                <c:manualLayout>
                  <c:x val="-7.5281488690318206E-3"/>
                  <c:y val="-3.948536238675565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E6-4565-9A70-125EA2644C50}"/>
                </c:ext>
              </c:extLst>
            </c:dLbl>
            <c:dLbl>
              <c:idx val="7"/>
              <c:delete val="1"/>
              <c:extLst>
                <c:ext xmlns:c15="http://schemas.microsoft.com/office/drawing/2012/chart" uri="{CE6537A1-D6FC-4f65-9D91-7224C49458BB}"/>
                <c:ext xmlns:c16="http://schemas.microsoft.com/office/drawing/2014/chart" uri="{C3380CC4-5D6E-409C-BE32-E72D297353CC}">
                  <c16:uniqueId val="{00000007-84E6-4565-9A70-125EA2644C50}"/>
                </c:ext>
              </c:extLst>
            </c:dLbl>
            <c:dLbl>
              <c:idx val="9"/>
              <c:delete val="1"/>
              <c:extLst>
                <c:ext xmlns:c15="http://schemas.microsoft.com/office/drawing/2012/chart" uri="{CE6537A1-D6FC-4f65-9D91-7224C49458BB}"/>
                <c:ext xmlns:c16="http://schemas.microsoft.com/office/drawing/2014/chart" uri="{C3380CC4-5D6E-409C-BE32-E72D297353CC}">
                  <c16:uniqueId val="{00000009-84E6-4565-9A70-125EA2644C50}"/>
                </c:ext>
              </c:extLst>
            </c:dLbl>
            <c:dLbl>
              <c:idx val="12"/>
              <c:layout>
                <c:manualLayout>
                  <c:x val="-5.8144799315815864E-2"/>
                  <c:y val="-3.2249854106121113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8.6624890638670168E-2"/>
                      <c:h val="9.2523330417031202E-2"/>
                    </c:manualLayout>
                  </c15:layout>
                </c:ext>
                <c:ext xmlns:c16="http://schemas.microsoft.com/office/drawing/2014/chart" uri="{C3380CC4-5D6E-409C-BE32-E72D297353CC}">
                  <c16:uniqueId val="{0000000C-84E6-4565-9A70-125EA2644C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Analysis!$J$5:$J$17</c:f>
              <c:strCache>
                <c:ptCount val="13"/>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pt idx="12">
                  <c:v>Jan 2024</c:v>
                </c:pt>
              </c:strCache>
            </c:strRef>
          </c:cat>
          <c:val>
            <c:numRef>
              <c:f>Analysis!$K$5:$K$17</c:f>
              <c:numCache>
                <c:formatCode>[&gt;=1000000]\$0.0,,"M";[&gt;=1000]\$0.0,"K";0</c:formatCode>
                <c:ptCount val="13"/>
                <c:pt idx="0">
                  <c:v>6375602.7684999993</c:v>
                </c:pt>
                <c:pt idx="1">
                  <c:v>4662249.4973999988</c:v>
                </c:pt>
                <c:pt idx="2">
                  <c:v>5111669.9625999983</c:v>
                </c:pt>
                <c:pt idx="3">
                  <c:v>4518199.6369999982</c:v>
                </c:pt>
                <c:pt idx="4">
                  <c:v>4878261.7866999973</c:v>
                </c:pt>
                <c:pt idx="5">
                  <c:v>5296111.9988999981</c:v>
                </c:pt>
                <c:pt idx="6">
                  <c:v>4003580.3107999987</c:v>
                </c:pt>
                <c:pt idx="7">
                  <c:v>5724989.7414999967</c:v>
                </c:pt>
                <c:pt idx="8">
                  <c:v>3835193.0909999982</c:v>
                </c:pt>
                <c:pt idx="9">
                  <c:v>5678169.618999999</c:v>
                </c:pt>
                <c:pt idx="10">
                  <c:v>4157584.6568999966</c:v>
                </c:pt>
                <c:pt idx="11">
                  <c:v>5398212.0219999999</c:v>
                </c:pt>
                <c:pt idx="12">
                  <c:v>46348.191399999996</c:v>
                </c:pt>
              </c:numCache>
            </c:numRef>
          </c:val>
          <c:smooth val="1"/>
          <c:extLst>
            <c:ext xmlns:c16="http://schemas.microsoft.com/office/drawing/2014/chart" uri="{C3380CC4-5D6E-409C-BE32-E72D297353CC}">
              <c16:uniqueId val="{0000000D-84E6-4565-9A70-125EA2644C50}"/>
            </c:ext>
          </c:extLst>
        </c:ser>
        <c:dLbls>
          <c:showLegendKey val="0"/>
          <c:showVal val="0"/>
          <c:showCatName val="0"/>
          <c:showSerName val="0"/>
          <c:showPercent val="0"/>
          <c:showBubbleSize val="0"/>
        </c:dLbls>
        <c:marker val="1"/>
        <c:smooth val="0"/>
        <c:axId val="1231946000"/>
        <c:axId val="1231943120"/>
      </c:lineChart>
      <c:catAx>
        <c:axId val="12319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1943120"/>
        <c:crosses val="autoZero"/>
        <c:auto val="1"/>
        <c:lblAlgn val="ctr"/>
        <c:lblOffset val="100"/>
        <c:noMultiLvlLbl val="0"/>
      </c:catAx>
      <c:valAx>
        <c:axId val="123194312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194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Dashboard.xlsx]Analysis!payment method frequency</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04775">
            <a:noFill/>
            <a:round/>
          </a:ln>
          <a:effectLst/>
        </c:spPr>
        <c:marker>
          <c:symbol val="none"/>
        </c:marker>
        <c:dLbl>
          <c:idx val="0"/>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79E5C1"/>
          </a:solidFill>
          <a:ln w="104775">
            <a:noFill/>
            <a:round/>
          </a:ln>
          <a:effectLst/>
        </c:spPr>
        <c:dLbl>
          <c:idx val="0"/>
          <c:layout>
            <c:manualLayout>
              <c:x val="0.10404621120379562"/>
              <c:y val="-3.539823008849563E-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7"/>
        <c:spPr>
          <a:solidFill>
            <a:srgbClr val="0196FA"/>
          </a:solidFill>
          <a:ln w="104775">
            <a:noFill/>
            <a:round/>
          </a:ln>
          <a:effectLst/>
        </c:spPr>
        <c:dLbl>
          <c:idx val="0"/>
          <c:layout>
            <c:manualLayout>
              <c:x val="-3.5323922899279934E-17"/>
              <c:y val="0.1061946902654867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8"/>
        <c:spPr>
          <a:solidFill>
            <a:srgbClr val="0196FA">
              <a:alpha val="53000"/>
            </a:srgbClr>
          </a:solidFill>
          <a:ln w="104775">
            <a:noFill/>
            <a:round/>
          </a:ln>
          <a:effectLst/>
        </c:spPr>
        <c:dLbl>
          <c:idx val="0"/>
          <c:layout>
            <c:manualLayout>
              <c:x val="-0.11560690133755062"/>
              <c:y val="-8.2595870206489674E-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9"/>
        <c:spPr>
          <a:solidFill>
            <a:schemeClr val="accent1"/>
          </a:solidFill>
          <a:ln w="104775">
            <a:noFill/>
            <a:round/>
          </a:ln>
          <a:effectLst/>
        </c:spPr>
        <c:marker>
          <c:symbol val="none"/>
        </c:marker>
        <c:dLbl>
          <c:idx val="0"/>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79E5C1"/>
          </a:solidFill>
          <a:ln w="104775">
            <a:noFill/>
            <a:round/>
          </a:ln>
          <a:effectLst/>
        </c:spPr>
        <c:dLbl>
          <c:idx val="0"/>
          <c:layout>
            <c:manualLayout>
              <c:x val="0.10404621120379562"/>
              <c:y val="-3.539823008849563E-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11"/>
        <c:spPr>
          <a:solidFill>
            <a:srgbClr val="0196FA"/>
          </a:solidFill>
          <a:ln w="104775">
            <a:noFill/>
            <a:round/>
          </a:ln>
          <a:effectLst/>
        </c:spPr>
        <c:dLbl>
          <c:idx val="0"/>
          <c:layout>
            <c:manualLayout>
              <c:x val="-3.5323922899279934E-17"/>
              <c:y val="0.1061946902654867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12"/>
        <c:spPr>
          <a:solidFill>
            <a:srgbClr val="0196FA">
              <a:alpha val="53000"/>
            </a:srgbClr>
          </a:solidFill>
          <a:ln w="104775">
            <a:noFill/>
            <a:round/>
          </a:ln>
          <a:effectLst/>
        </c:spPr>
        <c:dLbl>
          <c:idx val="0"/>
          <c:layout>
            <c:manualLayout>
              <c:x val="-0.11560690133755062"/>
              <c:y val="-8.2595870206489674E-2"/>
            </c:manualLayout>
          </c:layout>
          <c:numFmt formatCode="0%" sourceLinked="0"/>
          <c:spPr>
            <a:no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8.3874779216610018E-2"/>
                  <c:h val="8.3313125682298567E-2"/>
                </c:manualLayout>
              </c15:layout>
            </c:ext>
          </c:extLst>
        </c:dLbl>
      </c:pivotFmt>
      <c:pivotFmt>
        <c:idx val="13"/>
        <c:spPr>
          <a:solidFill>
            <a:schemeClr val="accent1"/>
          </a:solidFill>
          <a:ln w="104775">
            <a:noFill/>
            <a:round/>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79E5C1"/>
          </a:solidFill>
          <a:ln w="104775">
            <a:noFill/>
            <a:round/>
          </a:ln>
          <a:effectLst/>
        </c:spPr>
        <c:dLbl>
          <c:idx val="0"/>
          <c:layout>
            <c:manualLayout>
              <c:x val="0.1393770345177997"/>
              <c:y val="-3.1750992800297383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0196FA"/>
          </a:solidFill>
          <a:ln w="104775">
            <a:noFill/>
            <a:round/>
          </a:ln>
          <a:effectLst/>
        </c:spPr>
        <c:dLbl>
          <c:idx val="0"/>
          <c:layout>
            <c:manualLayout>
              <c:x val="4.4163522941709242E-2"/>
              <c:y val="0.10984192755368499"/>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0196FA">
              <a:alpha val="53000"/>
            </a:srgbClr>
          </a:solidFill>
          <a:ln w="104775">
            <a:noFill/>
            <a:round/>
          </a:ln>
          <a:effectLst/>
        </c:spPr>
        <c:dLbl>
          <c:idx val="0"/>
          <c:layout>
            <c:manualLayout>
              <c:x val="-8.9108777651251719E-2"/>
              <c:y val="-8.2595865673772917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w="104775">
            <a:noFill/>
            <a:round/>
          </a:ln>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79E5C1"/>
          </a:solidFill>
          <a:ln w="104775">
            <a:noFill/>
            <a:round/>
          </a:ln>
          <a:effectLst/>
        </c:spPr>
        <c:dLbl>
          <c:idx val="0"/>
          <c:layout>
            <c:manualLayout>
              <c:x val="0.1393770345177997"/>
              <c:y val="-3.1750992800297383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0196FA"/>
          </a:solidFill>
          <a:ln w="104775">
            <a:noFill/>
            <a:round/>
          </a:ln>
          <a:effectLst/>
        </c:spPr>
        <c:dLbl>
          <c:idx val="0"/>
          <c:layout>
            <c:manualLayout>
              <c:x val="4.4163522941709242E-2"/>
              <c:y val="0.10984192755368499"/>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0196FA">
              <a:alpha val="53000"/>
            </a:srgbClr>
          </a:solidFill>
          <a:ln w="104775">
            <a:noFill/>
            <a:round/>
          </a:ln>
          <a:effectLst/>
        </c:spPr>
        <c:dLbl>
          <c:idx val="0"/>
          <c:layout>
            <c:manualLayout>
              <c:x val="-8.9108777651251719E-2"/>
              <c:y val="-8.2595865673772917E-2"/>
            </c:manualLayout>
          </c:layout>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w="104775">
            <a:noFill/>
            <a:round/>
          </a:ln>
          <a:effectLst/>
        </c:spPr>
        <c:marker>
          <c:symbol val="none"/>
        </c:marker>
        <c:dLbl>
          <c:idx val="0"/>
          <c:numFmt formatCode="0%" sourceLinked="0"/>
          <c:spPr>
            <a:noFill/>
            <a:ln>
              <a:noFill/>
            </a:ln>
            <a:effectLst/>
          </c:spPr>
          <c:txPr>
            <a:bodyPr rot="0" spcFirstLastPara="1" vertOverflow="overflow" horzOverflow="overflow" vert="horz" wrap="non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00E094"/>
          </a:solidFill>
          <a:ln w="104775">
            <a:noFill/>
            <a:round/>
          </a:ln>
          <a:effectLst/>
        </c:spPr>
        <c:dLbl>
          <c:idx val="0"/>
          <c:layout>
            <c:manualLayout>
              <c:x val="8.2191810373498139E-2"/>
              <c:y val="-0.13524911395856051"/>
            </c:manualLayout>
          </c:layout>
          <c:numFmt formatCode="0%" sourceLinked="0"/>
          <c:spPr>
            <a:noFill/>
            <a:ln>
              <a:noFill/>
            </a:ln>
            <a:effectLst/>
          </c:spPr>
          <c:txPr>
            <a:bodyPr rot="0" spcFirstLastPara="1" vertOverflow="overflow" horzOverflow="overflow" vert="horz" wrap="non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9.8424872694377705E-2"/>
                  <c:h val="0.12609761223191568"/>
                </c:manualLayout>
              </c15:layout>
            </c:ext>
          </c:extLst>
        </c:dLbl>
      </c:pivotFmt>
      <c:pivotFmt>
        <c:idx val="23"/>
        <c:spPr>
          <a:solidFill>
            <a:srgbClr val="0196FA"/>
          </a:solidFill>
          <a:ln w="104775">
            <a:noFill/>
            <a:round/>
          </a:ln>
          <a:effectLst/>
        </c:spPr>
        <c:dLbl>
          <c:idx val="0"/>
          <c:layout>
            <c:manualLayout>
              <c:x val="-0.14611877399733003"/>
              <c:y val="3.6066430388949473E-2"/>
            </c:manualLayout>
          </c:layout>
          <c:numFmt formatCode="0%" sourceLinked="0"/>
          <c:spPr>
            <a:noFill/>
            <a:ln>
              <a:noFill/>
            </a:ln>
            <a:effectLst/>
          </c:spPr>
          <c:txPr>
            <a:bodyPr rot="0" spcFirstLastPara="1" vertOverflow="overflow" horzOverflow="overflow" vert="horz" wrap="non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9.8424872694377705E-2"/>
                  <c:h val="0.12609761223191568"/>
                </c:manualLayout>
              </c15:layout>
            </c:ext>
          </c:extLst>
        </c:dLbl>
      </c:pivotFmt>
      <c:pivotFmt>
        <c:idx val="24"/>
        <c:spPr>
          <a:solidFill>
            <a:srgbClr val="0196FA">
              <a:alpha val="53000"/>
            </a:srgbClr>
          </a:solidFill>
          <a:ln w="104775">
            <a:noFill/>
            <a:round/>
          </a:ln>
          <a:effectLst/>
        </c:spPr>
        <c:dLbl>
          <c:idx val="0"/>
          <c:layout>
            <c:manualLayout>
              <c:x val="-5.0228328561582193E-2"/>
              <c:y val="-0.10819929116684841"/>
            </c:manualLayout>
          </c:layout>
          <c:numFmt formatCode="0%" sourceLinked="0"/>
          <c:spPr>
            <a:noFill/>
            <a:ln>
              <a:noFill/>
            </a:ln>
            <a:effectLst/>
          </c:spPr>
          <c:txPr>
            <a:bodyPr rot="0" spcFirstLastPara="1" vertOverflow="overflow" horzOverflow="overflow" vert="horz" wrap="non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9.8424872694377705E-2"/>
                  <c:h val="0.12609761223191568"/>
                </c:manualLayout>
              </c15:layout>
            </c:ext>
          </c:extLst>
        </c:dLbl>
      </c:pivotFmt>
    </c:pivotFmts>
    <c:plotArea>
      <c:layout>
        <c:manualLayout>
          <c:layoutTarget val="inner"/>
          <c:xMode val="edge"/>
          <c:yMode val="edge"/>
          <c:x val="0.11268475629552953"/>
          <c:y val="0.12503838024915118"/>
          <c:w val="0.43944142647014939"/>
          <c:h val="0.86773701608505993"/>
        </c:manualLayout>
      </c:layout>
      <c:doughnutChart>
        <c:varyColors val="1"/>
        <c:ser>
          <c:idx val="0"/>
          <c:order val="0"/>
          <c:tx>
            <c:strRef>
              <c:f>Analysis!$E$17</c:f>
              <c:strCache>
                <c:ptCount val="1"/>
                <c:pt idx="0">
                  <c:v>Total</c:v>
                </c:pt>
              </c:strCache>
            </c:strRef>
          </c:tx>
          <c:spPr>
            <a:ln w="104775">
              <a:noFill/>
              <a:round/>
            </a:ln>
          </c:spPr>
          <c:dPt>
            <c:idx val="0"/>
            <c:bubble3D val="0"/>
            <c:spPr>
              <a:solidFill>
                <a:srgbClr val="00E094"/>
              </a:solidFill>
              <a:ln w="104775">
                <a:noFill/>
                <a:round/>
              </a:ln>
              <a:effectLst/>
            </c:spPr>
            <c:extLst>
              <c:ext xmlns:c16="http://schemas.microsoft.com/office/drawing/2014/chart" uri="{C3380CC4-5D6E-409C-BE32-E72D297353CC}">
                <c16:uniqueId val="{00000001-2D77-4B4F-883C-99E2ABFCD629}"/>
              </c:ext>
            </c:extLst>
          </c:dPt>
          <c:dPt>
            <c:idx val="1"/>
            <c:bubble3D val="0"/>
            <c:spPr>
              <a:solidFill>
                <a:srgbClr val="0196FA"/>
              </a:solidFill>
              <a:ln w="104775">
                <a:noFill/>
                <a:round/>
              </a:ln>
              <a:effectLst/>
            </c:spPr>
            <c:extLst>
              <c:ext xmlns:c16="http://schemas.microsoft.com/office/drawing/2014/chart" uri="{C3380CC4-5D6E-409C-BE32-E72D297353CC}">
                <c16:uniqueId val="{00000003-2D77-4B4F-883C-99E2ABFCD629}"/>
              </c:ext>
            </c:extLst>
          </c:dPt>
          <c:dPt>
            <c:idx val="2"/>
            <c:bubble3D val="0"/>
            <c:spPr>
              <a:solidFill>
                <a:srgbClr val="0196FA">
                  <a:alpha val="53000"/>
                </a:srgbClr>
              </a:solidFill>
              <a:ln w="104775">
                <a:noFill/>
                <a:round/>
              </a:ln>
              <a:effectLst/>
            </c:spPr>
            <c:extLst>
              <c:ext xmlns:c16="http://schemas.microsoft.com/office/drawing/2014/chart" uri="{C3380CC4-5D6E-409C-BE32-E72D297353CC}">
                <c16:uniqueId val="{00000005-2D77-4B4F-883C-99E2ABFCD629}"/>
              </c:ext>
            </c:extLst>
          </c:dPt>
          <c:dLbls>
            <c:dLbl>
              <c:idx val="0"/>
              <c:layout>
                <c:manualLayout>
                  <c:x val="8.2191810373498139E-2"/>
                  <c:y val="-0.13524911395856051"/>
                </c:manualLayout>
              </c:layout>
              <c:showLegendKey val="0"/>
              <c:showVal val="0"/>
              <c:showCatName val="0"/>
              <c:showSerName val="0"/>
              <c:showPercent val="1"/>
              <c:showBubbleSize val="0"/>
              <c:extLst>
                <c:ext xmlns:c15="http://schemas.microsoft.com/office/drawing/2012/chart" uri="{CE6537A1-D6FC-4f65-9D91-7224C49458BB}">
                  <c15:layout>
                    <c:manualLayout>
                      <c:w val="9.8424872694377705E-2"/>
                      <c:h val="0.12609761223191568"/>
                    </c:manualLayout>
                  </c15:layout>
                </c:ext>
                <c:ext xmlns:c16="http://schemas.microsoft.com/office/drawing/2014/chart" uri="{C3380CC4-5D6E-409C-BE32-E72D297353CC}">
                  <c16:uniqueId val="{00000001-2D77-4B4F-883C-99E2ABFCD629}"/>
                </c:ext>
              </c:extLst>
            </c:dLbl>
            <c:dLbl>
              <c:idx val="1"/>
              <c:layout>
                <c:manualLayout>
                  <c:x val="-0.14611877399733003"/>
                  <c:y val="3.6066430388949473E-2"/>
                </c:manualLayout>
              </c:layout>
              <c:showLegendKey val="0"/>
              <c:showVal val="0"/>
              <c:showCatName val="0"/>
              <c:showSerName val="0"/>
              <c:showPercent val="1"/>
              <c:showBubbleSize val="0"/>
              <c:extLst>
                <c:ext xmlns:c15="http://schemas.microsoft.com/office/drawing/2012/chart" uri="{CE6537A1-D6FC-4f65-9D91-7224C49458BB}">
                  <c15:layout>
                    <c:manualLayout>
                      <c:w val="9.8424872694377705E-2"/>
                      <c:h val="0.12609761223191568"/>
                    </c:manualLayout>
                  </c15:layout>
                </c:ext>
                <c:ext xmlns:c16="http://schemas.microsoft.com/office/drawing/2014/chart" uri="{C3380CC4-5D6E-409C-BE32-E72D297353CC}">
                  <c16:uniqueId val="{00000003-2D77-4B4F-883C-99E2ABFCD629}"/>
                </c:ext>
              </c:extLst>
            </c:dLbl>
            <c:dLbl>
              <c:idx val="2"/>
              <c:layout>
                <c:manualLayout>
                  <c:x val="-5.0228328561582193E-2"/>
                  <c:y val="-0.10819929116684841"/>
                </c:manualLayout>
              </c:layout>
              <c:showLegendKey val="0"/>
              <c:showVal val="0"/>
              <c:showCatName val="0"/>
              <c:showSerName val="0"/>
              <c:showPercent val="1"/>
              <c:showBubbleSize val="0"/>
              <c:extLst>
                <c:ext xmlns:c15="http://schemas.microsoft.com/office/drawing/2012/chart" uri="{CE6537A1-D6FC-4f65-9D91-7224C49458BB}">
                  <c15:layout>
                    <c:manualLayout>
                      <c:w val="9.8424872694377705E-2"/>
                      <c:h val="0.12609761223191568"/>
                    </c:manualLayout>
                  </c15:layout>
                </c:ext>
                <c:ext xmlns:c16="http://schemas.microsoft.com/office/drawing/2014/chart" uri="{C3380CC4-5D6E-409C-BE32-E72D297353CC}">
                  <c16:uniqueId val="{00000005-2D77-4B4F-883C-99E2ABFCD629}"/>
                </c:ext>
              </c:extLst>
            </c:dLbl>
            <c:numFmt formatCode="0%" sourceLinked="0"/>
            <c:spPr>
              <a:noFill/>
              <a:ln>
                <a:noFill/>
              </a:ln>
              <a:effectLst/>
            </c:spPr>
            <c:txPr>
              <a:bodyPr rot="0" spcFirstLastPara="1" vertOverflow="overflow" horzOverflow="overflow" vert="horz" wrap="non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Analysis!$D$18:$D$20</c:f>
              <c:strCache>
                <c:ptCount val="3"/>
                <c:pt idx="0">
                  <c:v>Credit Card</c:v>
                </c:pt>
                <c:pt idx="1">
                  <c:v>Bank Transfer</c:v>
                </c:pt>
                <c:pt idx="2">
                  <c:v>Cash</c:v>
                </c:pt>
              </c:strCache>
            </c:strRef>
          </c:cat>
          <c:val>
            <c:numRef>
              <c:f>Analysis!$E$18:$E$20</c:f>
              <c:numCache>
                <c:formatCode>General</c:formatCode>
                <c:ptCount val="3"/>
                <c:pt idx="0">
                  <c:v>345</c:v>
                </c:pt>
                <c:pt idx="1">
                  <c:v>342</c:v>
                </c:pt>
                <c:pt idx="2">
                  <c:v>313</c:v>
                </c:pt>
              </c:numCache>
            </c:numRef>
          </c:val>
          <c:extLst>
            <c:ext xmlns:c16="http://schemas.microsoft.com/office/drawing/2014/chart" uri="{C3380CC4-5D6E-409C-BE32-E72D297353CC}">
              <c16:uniqueId val="{00000006-2D77-4B4F-883C-99E2ABFCD629}"/>
            </c:ext>
          </c:extLst>
        </c:ser>
        <c:dLbls>
          <c:showLegendKey val="0"/>
          <c:showVal val="1"/>
          <c:showCatName val="0"/>
          <c:showSerName val="0"/>
          <c:showPercent val="0"/>
          <c:showBubbleSize val="0"/>
          <c:showLeaderLines val="1"/>
        </c:dLbls>
        <c:firstSliceAng val="0"/>
        <c:holeSize val="88"/>
      </c:doughnutChart>
      <c:spPr>
        <a:noFill/>
        <a:ln>
          <a:noFill/>
        </a:ln>
        <a:effectLst/>
      </c:spPr>
    </c:plotArea>
    <c:legend>
      <c:legendPos val="r"/>
      <c:layout>
        <c:manualLayout>
          <c:xMode val="edge"/>
          <c:yMode val="edge"/>
          <c:x val="0.67678987408401614"/>
          <c:y val="0.3889814215285351"/>
          <c:w val="0.29171225387849353"/>
          <c:h val="0.53761842284623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Dashboard.xlsx]Analysis!Region Sales</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overflow" horzOverflow="overflow"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00B0F0">
              <a:alpha val="70000"/>
            </a:srgbClr>
          </a:solidFill>
          <a:ln>
            <a:noFill/>
          </a:ln>
          <a:effectLst/>
        </c:spPr>
      </c:pivotFmt>
      <c:pivotFmt>
        <c:idx val="5"/>
        <c:spPr>
          <a:solidFill>
            <a:srgbClr val="00E094"/>
          </a:solidFill>
          <a:ln>
            <a:noFill/>
          </a:ln>
          <a:effectLst/>
        </c:spPr>
      </c:pivotFmt>
      <c:pivotFmt>
        <c:idx val="6"/>
        <c:spPr>
          <a:solidFill>
            <a:srgbClr val="00B0F0">
              <a:alpha val="56000"/>
            </a:srgbClr>
          </a:solidFill>
          <a:ln>
            <a:noFill/>
          </a:ln>
          <a:effectLst/>
        </c:spPr>
      </c:pivotFmt>
      <c:pivotFmt>
        <c:idx val="7"/>
        <c:spPr>
          <a:solidFill>
            <a:srgbClr val="00B0F0"/>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alpha val="56000"/>
            </a:srgbClr>
          </a:solidFill>
          <a:ln>
            <a:noFill/>
          </a:ln>
          <a:effectLst/>
        </c:spPr>
      </c:pivotFmt>
      <c:pivotFmt>
        <c:idx val="9"/>
        <c:spPr>
          <a:solidFill>
            <a:srgbClr val="00B0F0">
              <a:alpha val="70000"/>
            </a:srgbClr>
          </a:solidFill>
          <a:ln>
            <a:noFill/>
          </a:ln>
          <a:effectLst/>
        </c:spPr>
      </c:pivotFmt>
      <c:pivotFmt>
        <c:idx val="10"/>
        <c:spPr>
          <a:solidFill>
            <a:srgbClr val="00E094"/>
          </a:solidFill>
          <a:ln>
            <a:noFill/>
          </a:ln>
          <a:effectLst/>
        </c:spPr>
      </c:pivotFmt>
      <c:pivotFmt>
        <c:idx val="11"/>
        <c:spPr>
          <a:solidFill>
            <a:srgbClr val="00B0F0"/>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alpha val="56000"/>
            </a:srgbClr>
          </a:solidFill>
          <a:ln>
            <a:noFill/>
          </a:ln>
          <a:effectLst/>
        </c:spPr>
      </c:pivotFmt>
      <c:pivotFmt>
        <c:idx val="13"/>
        <c:spPr>
          <a:solidFill>
            <a:srgbClr val="00B0F0">
              <a:alpha val="70000"/>
            </a:srgbClr>
          </a:solidFill>
          <a:ln>
            <a:noFill/>
          </a:ln>
          <a:effectLst/>
        </c:spPr>
      </c:pivotFmt>
      <c:pivotFmt>
        <c:idx val="14"/>
        <c:spPr>
          <a:solidFill>
            <a:srgbClr val="00E094"/>
          </a:solidFill>
          <a:ln>
            <a:noFill/>
          </a:ln>
          <a:effectLst/>
        </c:spPr>
      </c:pivotFmt>
    </c:pivotFmts>
    <c:plotArea>
      <c:layout>
        <c:manualLayout>
          <c:layoutTarget val="inner"/>
          <c:xMode val="edge"/>
          <c:yMode val="edge"/>
          <c:x val="0.15455052025663321"/>
          <c:y val="0.14477392221370039"/>
          <c:w val="0.88165560572817003"/>
          <c:h val="0.85489554539954116"/>
        </c:manualLayout>
      </c:layout>
      <c:barChart>
        <c:barDir val="bar"/>
        <c:grouping val="clustered"/>
        <c:varyColors val="0"/>
        <c:ser>
          <c:idx val="0"/>
          <c:order val="0"/>
          <c:tx>
            <c:strRef>
              <c:f>Analysis!$B$7</c:f>
              <c:strCache>
                <c:ptCount val="1"/>
                <c:pt idx="0">
                  <c:v>Total</c:v>
                </c:pt>
              </c:strCache>
            </c:strRef>
          </c:tx>
          <c:spPr>
            <a:solidFill>
              <a:srgbClr val="00B0F0"/>
            </a:solidFill>
            <a:ln>
              <a:noFill/>
            </a:ln>
            <a:effectLst/>
          </c:spPr>
          <c:invertIfNegative val="0"/>
          <c:dPt>
            <c:idx val="0"/>
            <c:invertIfNegative val="0"/>
            <c:bubble3D val="0"/>
            <c:spPr>
              <a:solidFill>
                <a:srgbClr val="00B0F0">
                  <a:alpha val="56000"/>
                </a:srgbClr>
              </a:solidFill>
              <a:ln>
                <a:noFill/>
              </a:ln>
              <a:effectLst/>
            </c:spPr>
            <c:extLst>
              <c:ext xmlns:c16="http://schemas.microsoft.com/office/drawing/2014/chart" uri="{C3380CC4-5D6E-409C-BE32-E72D297353CC}">
                <c16:uniqueId val="{00000001-3992-4493-B40C-A7F92DE127D9}"/>
              </c:ext>
            </c:extLst>
          </c:dPt>
          <c:dPt>
            <c:idx val="1"/>
            <c:invertIfNegative val="0"/>
            <c:bubble3D val="0"/>
            <c:spPr>
              <a:solidFill>
                <a:srgbClr val="00B0F0">
                  <a:alpha val="70000"/>
                </a:srgbClr>
              </a:solidFill>
              <a:ln>
                <a:noFill/>
              </a:ln>
              <a:effectLst/>
            </c:spPr>
            <c:extLst>
              <c:ext xmlns:c16="http://schemas.microsoft.com/office/drawing/2014/chart" uri="{C3380CC4-5D6E-409C-BE32-E72D297353CC}">
                <c16:uniqueId val="{00000003-3992-4493-B40C-A7F92DE127D9}"/>
              </c:ext>
            </c:extLst>
          </c:dPt>
          <c:dPt>
            <c:idx val="3"/>
            <c:invertIfNegative val="0"/>
            <c:bubble3D val="0"/>
            <c:spPr>
              <a:solidFill>
                <a:srgbClr val="00E094"/>
              </a:solidFill>
              <a:ln>
                <a:noFill/>
              </a:ln>
              <a:effectLst/>
            </c:spPr>
            <c:extLst>
              <c:ext xmlns:c16="http://schemas.microsoft.com/office/drawing/2014/chart" uri="{C3380CC4-5D6E-409C-BE32-E72D297353CC}">
                <c16:uniqueId val="{00000005-3992-4493-B40C-A7F92DE127D9}"/>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Analysis!$A$8:$A$11</c:f>
              <c:strCache>
                <c:ptCount val="4"/>
                <c:pt idx="0">
                  <c:v>South</c:v>
                </c:pt>
                <c:pt idx="1">
                  <c:v>West</c:v>
                </c:pt>
                <c:pt idx="2">
                  <c:v>East</c:v>
                </c:pt>
                <c:pt idx="3">
                  <c:v>North</c:v>
                </c:pt>
              </c:strCache>
            </c:strRef>
          </c:cat>
          <c:val>
            <c:numRef>
              <c:f>Analysis!$B$8:$B$11</c:f>
              <c:numCache>
                <c:formatCode>[&gt;=1000000]\$0.0,,"M";[&gt;=1000]\$0.0,"K";0</c:formatCode>
                <c:ptCount val="4"/>
                <c:pt idx="0">
                  <c:v>13894660.279499993</c:v>
                </c:pt>
                <c:pt idx="1">
                  <c:v>15018888.597600004</c:v>
                </c:pt>
                <c:pt idx="2">
                  <c:v>15202282.224599993</c:v>
                </c:pt>
                <c:pt idx="3">
                  <c:v>15570342.181999996</c:v>
                </c:pt>
              </c:numCache>
            </c:numRef>
          </c:val>
          <c:extLst>
            <c:ext xmlns:c16="http://schemas.microsoft.com/office/drawing/2014/chart" uri="{C3380CC4-5D6E-409C-BE32-E72D297353CC}">
              <c16:uniqueId val="{00000006-3992-4493-B40C-A7F92DE127D9}"/>
            </c:ext>
          </c:extLst>
        </c:ser>
        <c:dLbls>
          <c:showLegendKey val="0"/>
          <c:showVal val="0"/>
          <c:showCatName val="0"/>
          <c:showSerName val="0"/>
          <c:showPercent val="0"/>
          <c:showBubbleSize val="0"/>
        </c:dLbls>
        <c:gapWidth val="72"/>
        <c:axId val="1055927392"/>
        <c:axId val="1055915392"/>
      </c:barChart>
      <c:catAx>
        <c:axId val="1055927392"/>
        <c:scaling>
          <c:orientation val="minMax"/>
        </c:scaling>
        <c:delete val="0"/>
        <c:axPos val="l"/>
        <c:numFmt formatCode="General" sourceLinked="1"/>
        <c:majorTickMark val="out"/>
        <c:minorTickMark val="none"/>
        <c:tickLblPos val="nextTo"/>
        <c:spPr>
          <a:noFill/>
          <a:ln w="9525" cap="flat" cmpd="sng" algn="ctr">
            <a:noFill/>
            <a:round/>
          </a:ln>
          <a:effectLst/>
        </c:spPr>
        <c:txPr>
          <a:bodyPr rot="12000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055915392"/>
        <c:crossesAt val="0"/>
        <c:auto val="1"/>
        <c:lblAlgn val="ctr"/>
        <c:lblOffset val="100"/>
        <c:noMultiLvlLbl val="0"/>
      </c:catAx>
      <c:valAx>
        <c:axId val="1055915392"/>
        <c:scaling>
          <c:orientation val="minMax"/>
        </c:scaling>
        <c:delete val="0"/>
        <c:axPos val="b"/>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592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Dashboard.xlsx]Analysis!Customer Type by Qty. sold</c:name>
    <c:fmtId val="1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9E5C1"/>
          </a:solidFill>
          <a:ln w="19050">
            <a:noFill/>
          </a:ln>
          <a:effectLst/>
        </c:spPr>
        <c:dLbl>
          <c:idx val="0"/>
          <c:layout>
            <c:manualLayout>
              <c:x val="0.21893000874890639"/>
              <c:y val="3.2163713910761157E-2"/>
            </c:manualLayout>
          </c:layout>
          <c:tx>
            <c:rich>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fld id="{7F00AD6B-89DF-4825-9811-09C9D27BC450}" type="CATEGORYNAME">
                  <a:rPr lang="en-US" sz="1200" b="0">
                    <a:solidFill>
                      <a:schemeClr val="tx1"/>
                    </a:solidFill>
                  </a:rPr>
                  <a:pPr>
                    <a:defRPr sz="1050" b="0" i="0" u="none" strike="noStrike" kern="1200" baseline="0">
                      <a:solidFill>
                        <a:schemeClr val="tx1"/>
                      </a:solidFill>
                      <a:latin typeface="+mn-lt"/>
                      <a:ea typeface="+mn-ea"/>
                      <a:cs typeface="+mn-cs"/>
                    </a:defRPr>
                  </a:pPr>
                  <a:t>[CATEGORY NAME]</a:t>
                </a:fld>
                <a:r>
                  <a:rPr lang="en-US" sz="1050" b="0" baseline="0">
                    <a:solidFill>
                      <a:schemeClr val="tx1"/>
                    </a:solidFill>
                  </a:rPr>
                  <a:t> </a:t>
                </a:r>
                <a:fld id="{55F0B7DE-ADCF-4A0B-9D46-62483CFE0E9E}" type="VALUE">
                  <a:rPr lang="en-US" sz="1050" b="0" baseline="0">
                    <a:solidFill>
                      <a:schemeClr val="tx1"/>
                    </a:solidFill>
                  </a:rPr>
                  <a:pPr>
                    <a:defRPr sz="1050" b="0" i="0" u="none" strike="noStrike" kern="1200" baseline="0">
                      <a:solidFill>
                        <a:schemeClr val="tx1"/>
                      </a:solidFill>
                      <a:latin typeface="+mn-lt"/>
                      <a:ea typeface="+mn-ea"/>
                      <a:cs typeface="+mn-cs"/>
                    </a:defRPr>
                  </a:pPr>
                  <a:t>[VALUE]</a:t>
                </a:fld>
                <a:r>
                  <a:rPr lang="en-US" sz="1050" b="0" baseline="0">
                    <a:solidFill>
                      <a:schemeClr val="tx1"/>
                    </a:solidFill>
                  </a:rPr>
                  <a:t>,(</a:t>
                </a:r>
                <a:fld id="{EFA37253-064D-4ABC-905D-2FB8A6C82267}" type="PERCENTAGE">
                  <a:rPr lang="en-US" sz="1050" b="0" baseline="0">
                    <a:solidFill>
                      <a:schemeClr val="tx1"/>
                    </a:solidFill>
                  </a:rPr>
                  <a:pPr>
                    <a:defRPr sz="1050" b="0" i="0" u="none" strike="noStrike" kern="1200" baseline="0">
                      <a:solidFill>
                        <a:schemeClr val="tx1"/>
                      </a:solidFill>
                      <a:latin typeface="+mn-lt"/>
                      <a:ea typeface="+mn-ea"/>
                      <a:cs typeface="+mn-cs"/>
                    </a:defRPr>
                  </a:pPr>
                  <a:t>[PERCENTAGE]</a:t>
                </a:fld>
                <a:r>
                  <a:rPr lang="en-US" sz="1050" b="0" baseline="0">
                    <a:solidFill>
                      <a:schemeClr val="tx1"/>
                    </a:solidFill>
                  </a:rPr>
                  <a:t>)</a:t>
                </a:r>
              </a:p>
            </c:rich>
          </c:tx>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NG"/>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19903762029746"/>
                  <c:h val="0.16302712160979876"/>
                </c:manualLayout>
              </c15:layout>
              <c15:dlblFieldTable/>
              <c15:showDataLabelsRange val="0"/>
            </c:ext>
          </c:extLst>
        </c:dLbl>
      </c:pivotFmt>
      <c:pivotFmt>
        <c:idx val="2"/>
        <c:spPr>
          <a:solidFill>
            <a:srgbClr val="00E094"/>
          </a:solidFill>
          <a:ln w="19050">
            <a:noFill/>
          </a:ln>
          <a:effectLst/>
        </c:spPr>
        <c:dLbl>
          <c:idx val="0"/>
          <c:layout>
            <c:manualLayout>
              <c:x val="-0.2239063406547866"/>
              <c:y val="-1.2080781568970546E-3"/>
            </c:manualLayout>
          </c:layout>
          <c:tx>
            <c:rich>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fld id="{BA6D1600-FE8B-468F-A004-9D1A85B0C029}" type="CATEGORYNAME">
                  <a:rPr lang="en-US" sz="1200" b="0">
                    <a:solidFill>
                      <a:schemeClr val="tx1"/>
                    </a:solidFill>
                  </a:rPr>
                  <a:pPr>
                    <a:defRPr sz="1050" b="0" i="0" u="none" strike="noStrike" kern="1200" baseline="0">
                      <a:solidFill>
                        <a:schemeClr val="tx1"/>
                      </a:solidFill>
                      <a:latin typeface="+mn-lt"/>
                      <a:ea typeface="+mn-ea"/>
                      <a:cs typeface="+mn-cs"/>
                    </a:defRPr>
                  </a:pPr>
                  <a:t>[CATEGORY NAME]</a:t>
                </a:fld>
                <a:endParaRPr lang="en-US" sz="1200" b="0" baseline="0">
                  <a:solidFill>
                    <a:schemeClr val="tx1"/>
                  </a:solidFill>
                </a:endParaRPr>
              </a:p>
              <a:p>
                <a:pPr>
                  <a:defRPr sz="1050" b="0" i="0" u="none" strike="noStrike" kern="1200" baseline="0">
                    <a:solidFill>
                      <a:schemeClr val="tx1"/>
                    </a:solidFill>
                    <a:latin typeface="+mn-lt"/>
                    <a:ea typeface="+mn-ea"/>
                    <a:cs typeface="+mn-cs"/>
                  </a:defRPr>
                </a:pPr>
                <a:fld id="{9F7AFEE0-82E2-4CAE-A2F4-D7F5212B0BB7}" type="VALUE">
                  <a:rPr lang="en-US" sz="1050" b="0" baseline="0">
                    <a:solidFill>
                      <a:schemeClr val="tx1"/>
                    </a:solidFill>
                  </a:rPr>
                  <a:pPr>
                    <a:defRPr sz="1050" b="0" i="0" u="none" strike="noStrike" kern="1200" baseline="0">
                      <a:solidFill>
                        <a:schemeClr val="tx1"/>
                      </a:solidFill>
                      <a:latin typeface="+mn-lt"/>
                      <a:ea typeface="+mn-ea"/>
                      <a:cs typeface="+mn-cs"/>
                    </a:defRPr>
                  </a:pPr>
                  <a:t>[VALUE]</a:t>
                </a:fld>
                <a:r>
                  <a:rPr lang="en-US" sz="1050" b="0" baseline="0">
                    <a:solidFill>
                      <a:schemeClr val="tx1"/>
                    </a:solidFill>
                  </a:rPr>
                  <a:t>, (</a:t>
                </a:r>
                <a:fld id="{7C481586-EA77-4DAA-A6A5-AA3080A1C9B6}" type="PERCENTAGE">
                  <a:rPr lang="en-US" sz="1050" b="0" baseline="0">
                    <a:solidFill>
                      <a:schemeClr val="tx1"/>
                    </a:solidFill>
                  </a:rPr>
                  <a:pPr>
                    <a:defRPr sz="1050" b="0" i="0" u="none" strike="noStrike" kern="1200" baseline="0">
                      <a:solidFill>
                        <a:schemeClr val="tx1"/>
                      </a:solidFill>
                      <a:latin typeface="+mn-lt"/>
                      <a:ea typeface="+mn-ea"/>
                      <a:cs typeface="+mn-cs"/>
                    </a:defRPr>
                  </a:pPr>
                  <a:t>[PERCENTAGE]</a:t>
                </a:fld>
                <a:r>
                  <a:rPr lang="en-US" sz="1050" b="0" baseline="0">
                    <a:solidFill>
                      <a:schemeClr val="tx1"/>
                    </a:solidFill>
                  </a:rPr>
                  <a:t>)</a:t>
                </a:r>
              </a:p>
            </c:rich>
          </c:tx>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71363447990051"/>
                  <c:h val="0.15334062408865559"/>
                </c:manualLayout>
              </c15:layout>
              <c15:dlblFieldTable/>
              <c15:showDataLabelsRange val="0"/>
            </c:ext>
          </c:extLst>
        </c:dLbl>
      </c:pivotFmt>
      <c:pivotFmt>
        <c:idx val="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E094"/>
          </a:solidFill>
          <a:ln w="19050">
            <a:noFill/>
          </a:ln>
          <a:effectLst/>
        </c:spPr>
        <c:dLbl>
          <c:idx val="0"/>
          <c:layout>
            <c:manualLayout>
              <c:x val="-0.2239063406547866"/>
              <c:y val="-1.2080781568970546E-3"/>
            </c:manualLayout>
          </c:layout>
          <c:tx>
            <c:rich>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fld id="{BA6D1600-FE8B-468F-A004-9D1A85B0C029}" type="CATEGORYNAME">
                  <a:rPr lang="en-US" sz="1200" b="0">
                    <a:solidFill>
                      <a:schemeClr val="tx1"/>
                    </a:solidFill>
                  </a:rPr>
                  <a:pPr>
                    <a:defRPr sz="1050" b="0" i="0" u="none" strike="noStrike" kern="1200" baseline="0">
                      <a:solidFill>
                        <a:schemeClr val="tx1"/>
                      </a:solidFill>
                      <a:latin typeface="+mn-lt"/>
                      <a:ea typeface="+mn-ea"/>
                      <a:cs typeface="+mn-cs"/>
                    </a:defRPr>
                  </a:pPr>
                  <a:t>[CATEGORY NAME]</a:t>
                </a:fld>
                <a:endParaRPr lang="en-US" sz="1200" b="0" baseline="0">
                  <a:solidFill>
                    <a:schemeClr val="tx1"/>
                  </a:solidFill>
                </a:endParaRPr>
              </a:p>
              <a:p>
                <a:pPr>
                  <a:defRPr sz="1050" b="0" i="0" u="none" strike="noStrike" kern="1200" baseline="0">
                    <a:solidFill>
                      <a:schemeClr val="tx1"/>
                    </a:solidFill>
                    <a:latin typeface="+mn-lt"/>
                    <a:ea typeface="+mn-ea"/>
                    <a:cs typeface="+mn-cs"/>
                  </a:defRPr>
                </a:pPr>
                <a:fld id="{9F7AFEE0-82E2-4CAE-A2F4-D7F5212B0BB7}" type="VALUE">
                  <a:rPr lang="en-US" sz="1050" b="0" baseline="0">
                    <a:solidFill>
                      <a:schemeClr val="tx1"/>
                    </a:solidFill>
                  </a:rPr>
                  <a:pPr>
                    <a:defRPr sz="1050" b="0" i="0" u="none" strike="noStrike" kern="1200" baseline="0">
                      <a:solidFill>
                        <a:schemeClr val="tx1"/>
                      </a:solidFill>
                      <a:latin typeface="+mn-lt"/>
                      <a:ea typeface="+mn-ea"/>
                      <a:cs typeface="+mn-cs"/>
                    </a:defRPr>
                  </a:pPr>
                  <a:t>[VALUE]</a:t>
                </a:fld>
                <a:r>
                  <a:rPr lang="en-US" sz="1050" b="0" baseline="0">
                    <a:solidFill>
                      <a:schemeClr val="tx1"/>
                    </a:solidFill>
                  </a:rPr>
                  <a:t>, (</a:t>
                </a:r>
                <a:fld id="{7C481586-EA77-4DAA-A6A5-AA3080A1C9B6}" type="PERCENTAGE">
                  <a:rPr lang="en-US" sz="1050" b="0" baseline="0">
                    <a:solidFill>
                      <a:schemeClr val="tx1"/>
                    </a:solidFill>
                  </a:rPr>
                  <a:pPr>
                    <a:defRPr sz="1050" b="0" i="0" u="none" strike="noStrike" kern="1200" baseline="0">
                      <a:solidFill>
                        <a:schemeClr val="tx1"/>
                      </a:solidFill>
                      <a:latin typeface="+mn-lt"/>
                      <a:ea typeface="+mn-ea"/>
                      <a:cs typeface="+mn-cs"/>
                    </a:defRPr>
                  </a:pPr>
                  <a:t>[PERCENTAGE]</a:t>
                </a:fld>
                <a:r>
                  <a:rPr lang="en-US" sz="1050" b="0" baseline="0">
                    <a:solidFill>
                      <a:schemeClr val="tx1"/>
                    </a:solidFill>
                  </a:rPr>
                  <a:t>)</a:t>
                </a:r>
              </a:p>
            </c:rich>
          </c:tx>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71363447990051"/>
                  <c:h val="0.15334062408865559"/>
                </c:manualLayout>
              </c15:layout>
              <c15:dlblFieldTable/>
              <c15:showDataLabelsRange val="0"/>
            </c:ext>
          </c:extLst>
        </c:dLbl>
      </c:pivotFmt>
      <c:pivotFmt>
        <c:idx val="5"/>
        <c:spPr>
          <a:solidFill>
            <a:srgbClr val="79E5C1"/>
          </a:solidFill>
          <a:ln w="19050">
            <a:noFill/>
          </a:ln>
          <a:effectLst/>
        </c:spPr>
        <c:dLbl>
          <c:idx val="0"/>
          <c:layout>
            <c:manualLayout>
              <c:x val="0.21893000874890639"/>
              <c:y val="3.2163713910761157E-2"/>
            </c:manualLayout>
          </c:layout>
          <c:tx>
            <c:rich>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fld id="{7F00AD6B-89DF-4825-9811-09C9D27BC450}" type="CATEGORYNAME">
                  <a:rPr lang="en-US" sz="1200" b="0">
                    <a:solidFill>
                      <a:schemeClr val="tx1"/>
                    </a:solidFill>
                  </a:rPr>
                  <a:pPr>
                    <a:defRPr sz="1050" b="0" i="0" u="none" strike="noStrike" kern="1200" baseline="0">
                      <a:solidFill>
                        <a:schemeClr val="tx1"/>
                      </a:solidFill>
                      <a:latin typeface="+mn-lt"/>
                      <a:ea typeface="+mn-ea"/>
                      <a:cs typeface="+mn-cs"/>
                    </a:defRPr>
                  </a:pPr>
                  <a:t>[CATEGORY NAME]</a:t>
                </a:fld>
                <a:r>
                  <a:rPr lang="en-US" sz="1050" b="0" baseline="0">
                    <a:solidFill>
                      <a:schemeClr val="tx1"/>
                    </a:solidFill>
                  </a:rPr>
                  <a:t> </a:t>
                </a:r>
                <a:fld id="{55F0B7DE-ADCF-4A0B-9D46-62483CFE0E9E}" type="VALUE">
                  <a:rPr lang="en-US" sz="1050" b="0" baseline="0">
                    <a:solidFill>
                      <a:schemeClr val="tx1"/>
                    </a:solidFill>
                  </a:rPr>
                  <a:pPr>
                    <a:defRPr sz="1050" b="0" i="0" u="none" strike="noStrike" kern="1200" baseline="0">
                      <a:solidFill>
                        <a:schemeClr val="tx1"/>
                      </a:solidFill>
                      <a:latin typeface="+mn-lt"/>
                      <a:ea typeface="+mn-ea"/>
                      <a:cs typeface="+mn-cs"/>
                    </a:defRPr>
                  </a:pPr>
                  <a:t>[VALUE]</a:t>
                </a:fld>
                <a:r>
                  <a:rPr lang="en-US" sz="1050" b="0" baseline="0">
                    <a:solidFill>
                      <a:schemeClr val="tx1"/>
                    </a:solidFill>
                  </a:rPr>
                  <a:t>,(</a:t>
                </a:r>
                <a:fld id="{EFA37253-064D-4ABC-905D-2FB8A6C82267}" type="PERCENTAGE">
                  <a:rPr lang="en-US" sz="1050" b="0" baseline="0">
                    <a:solidFill>
                      <a:schemeClr val="tx1"/>
                    </a:solidFill>
                  </a:rPr>
                  <a:pPr>
                    <a:defRPr sz="1050" b="0" i="0" u="none" strike="noStrike" kern="1200" baseline="0">
                      <a:solidFill>
                        <a:schemeClr val="tx1"/>
                      </a:solidFill>
                      <a:latin typeface="+mn-lt"/>
                      <a:ea typeface="+mn-ea"/>
                      <a:cs typeface="+mn-cs"/>
                    </a:defRPr>
                  </a:pPr>
                  <a:t>[PERCENTAGE]</a:t>
                </a:fld>
                <a:r>
                  <a:rPr lang="en-US" sz="1050" b="0" baseline="0">
                    <a:solidFill>
                      <a:schemeClr val="tx1"/>
                    </a:solidFill>
                  </a:rPr>
                  <a:t>)</a:t>
                </a:r>
              </a:p>
            </c:rich>
          </c:tx>
          <c:spPr>
            <a:no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NG"/>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19903762029746"/>
                  <c:h val="0.16302712160979876"/>
                </c:manualLayout>
              </c15:layout>
              <c15:dlblFieldTable/>
              <c15:showDataLabelsRange val="0"/>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58DBAF"/>
          </a:solidFill>
          <a:ln w="19050">
            <a:noFill/>
          </a:ln>
          <a:effectLst/>
        </c:spPr>
        <c:dLbl>
          <c:idx val="0"/>
          <c:layout>
            <c:manualLayout>
              <c:x val="-0.22589641584092635"/>
              <c:y val="-3.1930282908184865E-2"/>
            </c:manualLayout>
          </c:layout>
          <c:tx>
            <c:rich>
              <a:bodyPr rot="0" spcFirstLastPara="1" vertOverflow="clip" horzOverflow="clip" vert="horz" wrap="square" lIns="38100" tIns="19050" rIns="38100" bIns="19050" anchor="ctr" anchorCtr="0">
                <a:noAutofit/>
              </a:bodyPr>
              <a:lstStyle/>
              <a:p>
                <a:pPr algn="ctr" rtl="0">
                  <a:defRPr lang="en-US" sz="1050" b="1" i="0" u="none" strike="noStrike" kern="1200" baseline="0">
                    <a:solidFill>
                      <a:schemeClr val="tx1"/>
                    </a:solidFill>
                    <a:latin typeface="+mn-lt"/>
                    <a:ea typeface="+mn-ea"/>
                    <a:cs typeface="+mn-cs"/>
                  </a:defRPr>
                </a:pPr>
                <a:fld id="{BA6D1600-FE8B-468F-A004-9D1A85B0C029}" type="CATEGORYNAME">
                  <a:rPr lang="en-US" sz="90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[CATEGORY NAME]</a:t>
                </a:fld>
                <a:r>
                  <a:rPr lang="en-US" sz="900" b="0" i="0" u="none" strike="noStrike" kern="1200" baseline="0">
                    <a:solidFill>
                      <a:schemeClr val="tx1"/>
                    </a:solidFill>
                    <a:latin typeface="+mn-lt"/>
                    <a:ea typeface="+mn-ea"/>
                    <a:cs typeface="+mn-cs"/>
                  </a:rPr>
                  <a:t> - </a:t>
                </a:r>
                <a:fld id="{7C481586-EA77-4DAA-A6A5-AA3080A1C9B6}" type="PERCENTAGE">
                  <a:rPr lang="en-US" sz="90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[PERCENTAGE]</a:t>
                </a:fld>
                <a:endParaRPr lang="en-US" sz="900" b="0" i="0" u="none" strike="noStrike" kern="1200" baseline="0">
                  <a:solidFill>
                    <a:schemeClr val="tx1"/>
                  </a:solidFill>
                  <a:latin typeface="+mn-lt"/>
                  <a:ea typeface="+mn-ea"/>
                  <a:cs typeface="+mn-cs"/>
                </a:endParaRPr>
              </a:p>
              <a:p>
                <a:pPr algn="ctr" rtl="0">
                  <a:defRPr lang="en-US" sz="1050" b="1" i="0" u="none" strike="noStrike" kern="1200" baseline="0">
                    <a:solidFill>
                      <a:schemeClr val="tx1"/>
                    </a:solidFill>
                    <a:latin typeface="+mn-lt"/>
                    <a:ea typeface="+mn-ea"/>
                    <a:cs typeface="+mn-cs"/>
                  </a:defRPr>
                </a:pPr>
                <a:r>
                  <a:rPr lang="en-US" sz="1050" b="0" i="0" u="none" strike="noStrike" kern="1200" baseline="0">
                    <a:solidFill>
                      <a:schemeClr val="tx1"/>
                    </a:solidFill>
                    <a:latin typeface="+mn-lt"/>
                    <a:ea typeface="+mn-ea"/>
                    <a:cs typeface="+mn-cs"/>
                  </a:rPr>
                  <a:t>(</a:t>
                </a:r>
                <a:fld id="{9F7AFEE0-82E2-4CAE-A2F4-D7F5212B0BB7}" type="VALUE">
                  <a:rPr lang="en-US" sz="105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[VALUE]</a:t>
                </a:fld>
                <a:r>
                  <a:rPr lang="en-US" sz="1050" b="0" i="0" u="none" strike="noStrike" kern="1200" baseline="0">
                    <a:solidFill>
                      <a:schemeClr val="tx1"/>
                    </a:solidFill>
                    <a:latin typeface="+mn-lt"/>
                    <a:ea typeface="+mn-ea"/>
                    <a:cs typeface="+mn-cs"/>
                  </a:rPr>
                  <a:t>) </a:t>
                </a:r>
              </a:p>
            </c:rich>
          </c:tx>
          <c:spPr>
            <a:noFill/>
            <a:ln>
              <a:noFill/>
            </a:ln>
            <a:effectLst/>
          </c:spPr>
          <c:txPr>
            <a:bodyPr rot="0" spcFirstLastPara="1" vertOverflow="clip" horzOverflow="clip" vert="horz" wrap="square" lIns="38100" tIns="19050" rIns="38100" bIns="19050" anchor="ctr" anchorCtr="0">
              <a:noAutofit/>
            </a:bodyPr>
            <a:lstStyle/>
            <a:p>
              <a:pPr algn="ctr" rtl="0">
                <a:defRPr lang="en-US"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49469957134004"/>
                  <c:h val="0.25165112425462943"/>
                </c:manualLayout>
              </c15:layout>
              <c15:dlblFieldTable/>
              <c15:showDataLabelsRange val="0"/>
            </c:ext>
          </c:extLst>
        </c:dLbl>
      </c:pivotFmt>
      <c:pivotFmt>
        <c:idx val="8"/>
        <c:spPr>
          <a:solidFill>
            <a:srgbClr val="419FDF"/>
          </a:solidFill>
          <a:ln w="19050">
            <a:noFill/>
          </a:ln>
          <a:effectLst/>
        </c:spPr>
        <c:dLbl>
          <c:idx val="0"/>
          <c:layout>
            <c:manualLayout>
              <c:x val="0.21035129987116186"/>
              <c:y val="3.440801177168207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00AD6B-89DF-4825-9811-09C9D27BC450}" type="CATEGORYNAME">
                  <a:rPr lang="en-US" sz="900" b="0">
                    <a:solidFill>
                      <a:schemeClr val="tx1"/>
                    </a:solidFill>
                  </a:rPr>
                  <a:pPr>
                    <a:defRPr sz="900" b="0" i="0" u="none" strike="noStrike" kern="1200" baseline="0">
                      <a:solidFill>
                        <a:schemeClr val="tx1"/>
                      </a:solidFill>
                      <a:latin typeface="+mn-lt"/>
                      <a:ea typeface="+mn-ea"/>
                      <a:cs typeface="+mn-cs"/>
                    </a:defRPr>
                  </a:pPr>
                  <a:t>[CATEGORY NAME]</a:t>
                </a:fld>
                <a:r>
                  <a:rPr lang="en-US" sz="900" b="0">
                    <a:solidFill>
                      <a:schemeClr val="tx1"/>
                    </a:solidFill>
                  </a:rPr>
                  <a:t> - </a:t>
                </a:r>
                <a:fld id="{EFA37253-064D-4ABC-905D-2FB8A6C82267}" type="PERCENTAGE">
                  <a:rPr lang="en-US" sz="900" b="0" i="0" u="none" strike="noStrike" kern="1200" baseline="0">
                    <a:solidFill>
                      <a:schemeClr val="tx1"/>
                    </a:solidFill>
                  </a:rPr>
                  <a:pPr>
                    <a:defRPr sz="900" b="0" i="0" u="none" strike="noStrike" kern="1200" baseline="0">
                      <a:solidFill>
                        <a:schemeClr val="tx1"/>
                      </a:solidFill>
                      <a:latin typeface="+mn-lt"/>
                      <a:ea typeface="+mn-ea"/>
                      <a:cs typeface="+mn-cs"/>
                    </a:defRPr>
                  </a:pPr>
                  <a:t>[PERCENTAGE]</a:t>
                </a:fld>
                <a:endParaRPr lang="en-US" sz="900" b="0" i="0" u="none" strike="noStrike" kern="1200" baseline="0">
                  <a:solidFill>
                    <a:schemeClr val="tx1"/>
                  </a:solidFill>
                </a:endParaRPr>
              </a:p>
              <a:p>
                <a:pPr>
                  <a:defRPr sz="900" b="0" i="0" u="none" strike="noStrike" kern="1200" baseline="0">
                    <a:solidFill>
                      <a:schemeClr val="tx1"/>
                    </a:solidFill>
                    <a:latin typeface="+mn-lt"/>
                    <a:ea typeface="+mn-ea"/>
                    <a:cs typeface="+mn-cs"/>
                  </a:defRPr>
                </a:pPr>
                <a:r>
                  <a:rPr lang="en-US" sz="900" b="0" i="0" u="none" strike="noStrike" kern="1200" baseline="0">
                    <a:solidFill>
                      <a:schemeClr val="tx1"/>
                    </a:solidFill>
                  </a:rPr>
                  <a:t>(</a:t>
                </a:r>
                <a:fld id="{55F0B7DE-ADCF-4A0B-9D46-62483CFE0E9E}" type="VALUE">
                  <a:rPr lang="en-US" sz="900" b="0" baseline="0">
                    <a:solidFill>
                      <a:schemeClr val="tx1"/>
                    </a:solidFill>
                  </a:rPr>
                  <a:pPr>
                    <a:defRPr sz="900" b="0" i="0" u="none" strike="noStrike" kern="1200" baseline="0">
                      <a:solidFill>
                        <a:schemeClr val="tx1"/>
                      </a:solidFill>
                      <a:latin typeface="+mn-lt"/>
                      <a:ea typeface="+mn-ea"/>
                      <a:cs typeface="+mn-cs"/>
                    </a:defRPr>
                  </a:pPr>
                  <a:t>[VALUE]</a:t>
                </a:fld>
                <a:r>
                  <a:rPr lang="en-US" sz="900" b="0" baseline="0">
                    <a:solidFill>
                      <a:schemeClr val="tx1"/>
                    </a:solidFill>
                  </a:rPr>
                  <a:t>)</a:t>
                </a:r>
              </a:p>
            </c:rich>
          </c:tx>
          <c:spPr>
            <a:xfrm>
              <a:off x="641428" y="727196"/>
              <a:ext cx="1093009" cy="603665"/>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684"/>
                    <a:gd name="adj2" fmla="val -5395"/>
                  </a:avLst>
                </a:prstGeom>
                <a:noFill/>
                <a:ln>
                  <a:noFill/>
                </a:ln>
              </c15:spPr>
              <c15:layout>
                <c:manualLayout>
                  <c:w val="0.28298084312237071"/>
                  <c:h val="0.29205960512156021"/>
                </c:manualLayout>
              </c15:layout>
              <c15:dlblFieldTable/>
              <c15:showDataLabelsRange val="0"/>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58DBAF"/>
          </a:solidFill>
          <a:ln w="19050">
            <a:noFill/>
          </a:ln>
          <a:effectLst/>
        </c:spPr>
        <c:dLbl>
          <c:idx val="0"/>
          <c:layout>
            <c:manualLayout>
              <c:x val="-0.22589641584092635"/>
              <c:y val="-3.1930282908184865E-2"/>
            </c:manualLayout>
          </c:layout>
          <c:tx>
            <c:rich>
              <a:bodyPr rot="0" spcFirstLastPara="1" vertOverflow="clip" horzOverflow="clip" vert="horz" wrap="square" lIns="38100" tIns="19050" rIns="38100" bIns="19050" anchor="ctr" anchorCtr="0">
                <a:noAutofit/>
              </a:bodyPr>
              <a:lstStyle/>
              <a:p>
                <a:pPr algn="ctr" rtl="0">
                  <a:defRPr lang="en-US" sz="1050" b="1" i="0" u="none" strike="noStrike" kern="1200" baseline="0">
                    <a:solidFill>
                      <a:schemeClr val="tx1"/>
                    </a:solidFill>
                    <a:latin typeface="+mn-lt"/>
                    <a:ea typeface="+mn-ea"/>
                    <a:cs typeface="+mn-cs"/>
                  </a:defRPr>
                </a:pPr>
                <a:fld id="{BA6D1600-FE8B-468F-A004-9D1A85B0C029}" type="CATEGORYNAME">
                  <a:rPr lang="en-US" sz="90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[CATEGORY NAME]</a:t>
                </a:fld>
                <a:r>
                  <a:rPr lang="en-US" sz="900" b="0" i="0" u="none" strike="noStrike" kern="1200" baseline="0">
                    <a:solidFill>
                      <a:schemeClr val="tx1"/>
                    </a:solidFill>
                    <a:latin typeface="+mn-lt"/>
                    <a:ea typeface="+mn-ea"/>
                    <a:cs typeface="+mn-cs"/>
                  </a:rPr>
                  <a:t> - </a:t>
                </a:r>
                <a:fld id="{7C481586-EA77-4DAA-A6A5-AA3080A1C9B6}" type="PERCENTAGE">
                  <a:rPr lang="en-US" sz="90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[PERCENTAGE]</a:t>
                </a:fld>
                <a:endParaRPr lang="en-US" sz="900" b="0" i="0" u="none" strike="noStrike" kern="1200" baseline="0">
                  <a:solidFill>
                    <a:schemeClr val="tx1"/>
                  </a:solidFill>
                  <a:latin typeface="+mn-lt"/>
                  <a:ea typeface="+mn-ea"/>
                  <a:cs typeface="+mn-cs"/>
                </a:endParaRPr>
              </a:p>
              <a:p>
                <a:pPr algn="ctr" rtl="0">
                  <a:defRPr lang="en-US" sz="1050" b="1" i="0" u="none" strike="noStrike" kern="1200" baseline="0">
                    <a:solidFill>
                      <a:schemeClr val="tx1"/>
                    </a:solidFill>
                    <a:latin typeface="+mn-lt"/>
                    <a:ea typeface="+mn-ea"/>
                    <a:cs typeface="+mn-cs"/>
                  </a:defRPr>
                </a:pPr>
                <a:r>
                  <a:rPr lang="en-US" sz="1050" b="0" i="0" u="none" strike="noStrike" kern="1200" baseline="0">
                    <a:solidFill>
                      <a:schemeClr val="tx1"/>
                    </a:solidFill>
                    <a:latin typeface="+mn-lt"/>
                    <a:ea typeface="+mn-ea"/>
                    <a:cs typeface="+mn-cs"/>
                  </a:rPr>
                  <a:t>(</a:t>
                </a:r>
                <a:fld id="{9F7AFEE0-82E2-4CAE-A2F4-D7F5212B0BB7}" type="VALUE">
                  <a:rPr lang="en-US" sz="1050" b="0" i="0" u="none" strike="noStrike" kern="1200" baseline="0">
                    <a:solidFill>
                      <a:schemeClr val="tx1"/>
                    </a:solidFill>
                    <a:latin typeface="+mn-lt"/>
                    <a:ea typeface="+mn-ea"/>
                    <a:cs typeface="+mn-cs"/>
                  </a:rPr>
                  <a:pPr algn="ctr" rtl="0">
                    <a:defRPr lang="en-US" sz="1050" b="1" i="0" u="none" strike="noStrike" kern="1200" baseline="0">
                      <a:solidFill>
                        <a:schemeClr val="tx1"/>
                      </a:solidFill>
                      <a:latin typeface="+mn-lt"/>
                      <a:ea typeface="+mn-ea"/>
                      <a:cs typeface="+mn-cs"/>
                    </a:defRPr>
                  </a:pPr>
                  <a:t>[VALUE]</a:t>
                </a:fld>
                <a:r>
                  <a:rPr lang="en-US" sz="1050" b="0" i="0" u="none" strike="noStrike" kern="1200" baseline="0">
                    <a:solidFill>
                      <a:schemeClr val="tx1"/>
                    </a:solidFill>
                    <a:latin typeface="+mn-lt"/>
                    <a:ea typeface="+mn-ea"/>
                    <a:cs typeface="+mn-cs"/>
                  </a:rPr>
                  <a:t>) </a:t>
                </a:r>
              </a:p>
            </c:rich>
          </c:tx>
          <c:spPr>
            <a:noFill/>
            <a:ln>
              <a:noFill/>
            </a:ln>
            <a:effectLst/>
          </c:spPr>
          <c:txPr>
            <a:bodyPr rot="0" spcFirstLastPara="1" vertOverflow="clip" horzOverflow="clip" vert="horz" wrap="square" lIns="38100" tIns="19050" rIns="38100" bIns="19050" anchor="ctr" anchorCtr="0">
              <a:noAutofit/>
            </a:bodyPr>
            <a:lstStyle/>
            <a:p>
              <a:pPr algn="ctr" rtl="0">
                <a:defRPr lang="en-US"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49469957134004"/>
                  <c:h val="0.25165112425462943"/>
                </c:manualLayout>
              </c15:layout>
              <c15:dlblFieldTable/>
              <c15:showDataLabelsRange val="0"/>
            </c:ext>
          </c:extLst>
        </c:dLbl>
      </c:pivotFmt>
      <c:pivotFmt>
        <c:idx val="11"/>
        <c:spPr>
          <a:solidFill>
            <a:srgbClr val="419FDF"/>
          </a:solidFill>
          <a:ln w="19050">
            <a:noFill/>
          </a:ln>
          <a:effectLst/>
        </c:spPr>
        <c:dLbl>
          <c:idx val="0"/>
          <c:layout>
            <c:manualLayout>
              <c:x val="0.21035129987116186"/>
              <c:y val="3.440801177168207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00AD6B-89DF-4825-9811-09C9D27BC450}" type="CATEGORYNAME">
                  <a:rPr lang="en-US" sz="900" b="0">
                    <a:solidFill>
                      <a:schemeClr val="tx1"/>
                    </a:solidFill>
                  </a:rPr>
                  <a:pPr>
                    <a:defRPr sz="900" b="0" i="0" u="none" strike="noStrike" kern="1200" baseline="0">
                      <a:solidFill>
                        <a:schemeClr val="tx1"/>
                      </a:solidFill>
                      <a:latin typeface="+mn-lt"/>
                      <a:ea typeface="+mn-ea"/>
                      <a:cs typeface="+mn-cs"/>
                    </a:defRPr>
                  </a:pPr>
                  <a:t>[CATEGORY NAME]</a:t>
                </a:fld>
                <a:r>
                  <a:rPr lang="en-US" sz="900" b="0">
                    <a:solidFill>
                      <a:schemeClr val="tx1"/>
                    </a:solidFill>
                  </a:rPr>
                  <a:t> - </a:t>
                </a:r>
                <a:fld id="{EFA37253-064D-4ABC-905D-2FB8A6C82267}" type="PERCENTAGE">
                  <a:rPr lang="en-US" sz="900" b="0" i="0" u="none" strike="noStrike" kern="1200" baseline="0">
                    <a:solidFill>
                      <a:schemeClr val="tx1"/>
                    </a:solidFill>
                  </a:rPr>
                  <a:pPr>
                    <a:defRPr sz="900" b="0" i="0" u="none" strike="noStrike" kern="1200" baseline="0">
                      <a:solidFill>
                        <a:schemeClr val="tx1"/>
                      </a:solidFill>
                      <a:latin typeface="+mn-lt"/>
                      <a:ea typeface="+mn-ea"/>
                      <a:cs typeface="+mn-cs"/>
                    </a:defRPr>
                  </a:pPr>
                  <a:t>[PERCENTAGE]</a:t>
                </a:fld>
                <a:endParaRPr lang="en-US" sz="900" b="0" i="0" u="none" strike="noStrike" kern="1200" baseline="0">
                  <a:solidFill>
                    <a:schemeClr val="tx1"/>
                  </a:solidFill>
                </a:endParaRPr>
              </a:p>
              <a:p>
                <a:pPr>
                  <a:defRPr sz="900" b="0" i="0" u="none" strike="noStrike" kern="1200" baseline="0">
                    <a:solidFill>
                      <a:schemeClr val="tx1"/>
                    </a:solidFill>
                    <a:latin typeface="+mn-lt"/>
                    <a:ea typeface="+mn-ea"/>
                    <a:cs typeface="+mn-cs"/>
                  </a:defRPr>
                </a:pPr>
                <a:r>
                  <a:rPr lang="en-US" sz="900" b="0" i="0" u="none" strike="noStrike" kern="1200" baseline="0">
                    <a:solidFill>
                      <a:schemeClr val="tx1"/>
                    </a:solidFill>
                  </a:rPr>
                  <a:t>(</a:t>
                </a:r>
                <a:fld id="{55F0B7DE-ADCF-4A0B-9D46-62483CFE0E9E}" type="VALUE">
                  <a:rPr lang="en-US" sz="900" b="0" baseline="0">
                    <a:solidFill>
                      <a:schemeClr val="tx1"/>
                    </a:solidFill>
                  </a:rPr>
                  <a:pPr>
                    <a:defRPr sz="900" b="0" i="0" u="none" strike="noStrike" kern="1200" baseline="0">
                      <a:solidFill>
                        <a:schemeClr val="tx1"/>
                      </a:solidFill>
                      <a:latin typeface="+mn-lt"/>
                      <a:ea typeface="+mn-ea"/>
                      <a:cs typeface="+mn-cs"/>
                    </a:defRPr>
                  </a:pPr>
                  <a:t>[VALUE]</a:t>
                </a:fld>
                <a:r>
                  <a:rPr lang="en-US" sz="900" b="0" baseline="0">
                    <a:solidFill>
                      <a:schemeClr val="tx1"/>
                    </a:solidFill>
                  </a:rPr>
                  <a:t>)</a:t>
                </a:r>
              </a:p>
            </c:rich>
          </c:tx>
          <c:spPr>
            <a:xfrm>
              <a:off x="641428" y="727196"/>
              <a:ext cx="1093009" cy="603665"/>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684"/>
                    <a:gd name="adj2" fmla="val -5395"/>
                  </a:avLst>
                </a:prstGeom>
                <a:noFill/>
                <a:ln>
                  <a:noFill/>
                </a:ln>
              </c15:spPr>
              <c15:layout>
                <c:manualLayout>
                  <c:w val="0.28298084312237071"/>
                  <c:h val="0.29205960512156021"/>
                </c:manualLayout>
              </c15:layout>
              <c15:dlblFieldTable/>
              <c15:showDataLabelsRange val="0"/>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NG"/>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58DBAF"/>
          </a:solidFill>
          <a:ln w="19050">
            <a:noFill/>
          </a:ln>
          <a:effectLst/>
        </c:spPr>
        <c:dLbl>
          <c:idx val="0"/>
          <c:layout>
            <c:manualLayout>
              <c:x val="-0.21548768525146478"/>
              <c:y val="-1.6625581313428135E-2"/>
            </c:manualLayout>
          </c:layout>
          <c:tx>
            <c:rich>
              <a:bodyPr rot="0" spcFirstLastPara="1" vertOverflow="clip" horzOverflow="clip" vert="horz" wrap="square" lIns="38100" tIns="19050" rIns="38100" bIns="19050" anchor="ctr" anchorCtr="0">
                <a:noAutofit/>
              </a:bodyPr>
              <a:lstStyle/>
              <a:p>
                <a:pPr algn="ctr" rtl="0">
                  <a:defRPr lang="en-US" sz="800" b="1" i="0" u="none" strike="noStrike" kern="1200" baseline="0">
                    <a:solidFill>
                      <a:schemeClr val="tx1"/>
                    </a:solidFill>
                    <a:latin typeface="+mn-lt"/>
                    <a:ea typeface="+mn-ea"/>
                    <a:cs typeface="+mn-cs"/>
                  </a:defRPr>
                </a:pPr>
                <a:fld id="{BA6D1600-FE8B-468F-A004-9D1A85B0C029}" type="CATEGORYNAME">
                  <a:rPr lang="en-US" sz="800" b="0" i="0" u="none" strike="noStrike" kern="1200" baseline="0">
                    <a:solidFill>
                      <a:schemeClr val="tx1"/>
                    </a:solidFill>
                    <a:latin typeface="+mn-lt"/>
                    <a:ea typeface="+mn-ea"/>
                    <a:cs typeface="+mn-cs"/>
                  </a:rPr>
                  <a:pPr algn="ctr" rtl="0">
                    <a:defRPr lang="en-US" sz="800" b="1">
                      <a:solidFill>
                        <a:schemeClr val="tx1"/>
                      </a:solidFill>
                    </a:defRPr>
                  </a:pPr>
                  <a:t>[CATEGORY NAME]</a:t>
                </a:fld>
                <a:r>
                  <a:rPr lang="en-US" sz="800" b="0" i="0" u="none" strike="noStrike" kern="1200" baseline="0">
                    <a:solidFill>
                      <a:schemeClr val="tx1"/>
                    </a:solidFill>
                    <a:latin typeface="+mn-lt"/>
                    <a:ea typeface="+mn-ea"/>
                    <a:cs typeface="+mn-cs"/>
                  </a:rPr>
                  <a:t> </a:t>
                </a:r>
              </a:p>
              <a:p>
                <a:pPr algn="ctr" rtl="0">
                  <a:defRPr lang="en-US" sz="800" b="1">
                    <a:solidFill>
                      <a:schemeClr val="tx1"/>
                    </a:solidFill>
                  </a:defRPr>
                </a:pPr>
                <a:fld id="{7C481586-EA77-4DAA-A6A5-AA3080A1C9B6}" type="PERCENTAGE">
                  <a:rPr lang="en-US" sz="800" b="0" i="0" u="none" strike="noStrike" kern="1200" baseline="0">
                    <a:solidFill>
                      <a:schemeClr val="tx1"/>
                    </a:solidFill>
                    <a:latin typeface="+mn-lt"/>
                    <a:ea typeface="+mn-ea"/>
                    <a:cs typeface="+mn-cs"/>
                  </a:rPr>
                  <a:pPr algn="ctr" rtl="0">
                    <a:defRPr lang="en-US" sz="800" b="1">
                      <a:solidFill>
                        <a:schemeClr val="tx1"/>
                      </a:solidFill>
                    </a:defRPr>
                  </a:pPr>
                  <a:t>[PERCENTAGE]</a:t>
                </a:fld>
                <a:endParaRPr lang="en-US" sz="800" b="0" i="0" u="none" strike="noStrike" kern="1200" baseline="0">
                  <a:solidFill>
                    <a:schemeClr val="tx1"/>
                  </a:solidFill>
                  <a:latin typeface="+mn-lt"/>
                  <a:ea typeface="+mn-ea"/>
                  <a:cs typeface="+mn-cs"/>
                </a:endParaRPr>
              </a:p>
              <a:p>
                <a:pPr algn="ctr" rtl="0">
                  <a:defRPr lang="en-US" sz="800" b="1">
                    <a:solidFill>
                      <a:schemeClr val="tx1"/>
                    </a:solidFill>
                  </a:defRPr>
                </a:pPr>
                <a:r>
                  <a:rPr lang="en-US" sz="800" b="0" i="0" u="none" strike="noStrike" kern="1200" baseline="0">
                    <a:solidFill>
                      <a:schemeClr val="tx1"/>
                    </a:solidFill>
                    <a:latin typeface="+mn-lt"/>
                    <a:ea typeface="+mn-ea"/>
                    <a:cs typeface="+mn-cs"/>
                  </a:rPr>
                  <a:t>(</a:t>
                </a:r>
                <a:fld id="{9F7AFEE0-82E2-4CAE-A2F4-D7F5212B0BB7}" type="VALUE">
                  <a:rPr lang="en-US" sz="800" b="0" i="0" u="none" strike="noStrike" kern="1200" baseline="0">
                    <a:solidFill>
                      <a:schemeClr val="tx1"/>
                    </a:solidFill>
                    <a:latin typeface="+mn-lt"/>
                    <a:ea typeface="+mn-ea"/>
                    <a:cs typeface="+mn-cs"/>
                  </a:rPr>
                  <a:pPr algn="ctr" rtl="0">
                    <a:defRPr lang="en-US" sz="800" b="1">
                      <a:solidFill>
                        <a:schemeClr val="tx1"/>
                      </a:solidFill>
                    </a:defRPr>
                  </a:pPr>
                  <a:t>[VALUE]</a:t>
                </a:fld>
                <a:r>
                  <a:rPr lang="en-US" sz="800" b="0" i="0" u="none" strike="noStrike" kern="1200" baseline="0">
                    <a:solidFill>
                      <a:schemeClr val="tx1"/>
                    </a:solidFill>
                    <a:latin typeface="+mn-lt"/>
                    <a:ea typeface="+mn-ea"/>
                    <a:cs typeface="+mn-cs"/>
                  </a:rPr>
                  <a:t>) </a:t>
                </a:r>
              </a:p>
            </c:rich>
          </c:tx>
          <c:spPr>
            <a:noFill/>
            <a:ln>
              <a:noFill/>
            </a:ln>
            <a:effectLst/>
          </c:spPr>
          <c:txPr>
            <a:bodyPr rot="0" spcFirstLastPara="1" vertOverflow="clip" horzOverflow="clip" vert="horz" wrap="square" lIns="38100" tIns="19050" rIns="38100" bIns="19050" anchor="ctr" anchorCtr="0">
              <a:noAutofit/>
            </a:bodyPr>
            <a:lstStyle/>
            <a:p>
              <a:pPr algn="ctr" rtl="0">
                <a:defRPr lang="en-US"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572929646420457"/>
                  <c:h val="0.34814224902766194"/>
                </c:manualLayout>
              </c15:layout>
              <c15:dlblFieldTable/>
              <c15:showDataLabelsRange val="0"/>
            </c:ext>
          </c:extLst>
        </c:dLbl>
      </c:pivotFmt>
      <c:pivotFmt>
        <c:idx val="14"/>
        <c:spPr>
          <a:solidFill>
            <a:srgbClr val="419FDF"/>
          </a:solidFill>
          <a:ln w="19050">
            <a:noFill/>
          </a:ln>
          <a:effectLst/>
        </c:spPr>
        <c:dLbl>
          <c:idx val="0"/>
          <c:layout>
            <c:manualLayout>
              <c:x val="0.25813692480359146"/>
              <c:y val="2.219921411742932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00AD6B-89DF-4825-9811-09C9D27BC450}" type="CATEGORYNAME">
                  <a:rPr lang="en-US" sz="900" b="0">
                    <a:solidFill>
                      <a:schemeClr val="tx1"/>
                    </a:solidFill>
                  </a:rPr>
                  <a:pPr>
                    <a:defRPr>
                      <a:solidFill>
                        <a:schemeClr val="tx1"/>
                      </a:solidFill>
                    </a:defRPr>
                  </a:pPr>
                  <a:t>[CATEGORY NAME]</a:t>
                </a:fld>
                <a:r>
                  <a:rPr lang="en-US" sz="900" b="0">
                    <a:solidFill>
                      <a:schemeClr val="tx1"/>
                    </a:solidFill>
                  </a:rPr>
                  <a:t> </a:t>
                </a:r>
              </a:p>
              <a:p>
                <a:pPr>
                  <a:defRPr>
                    <a:solidFill>
                      <a:schemeClr val="tx1"/>
                    </a:solidFill>
                  </a:defRPr>
                </a:pPr>
                <a:r>
                  <a:rPr lang="en-US" sz="900" b="0">
                    <a:solidFill>
                      <a:schemeClr val="tx1"/>
                    </a:solidFill>
                  </a:rPr>
                  <a:t> </a:t>
                </a:r>
                <a:fld id="{EFA37253-064D-4ABC-905D-2FB8A6C82267}" type="PERCENTAGE">
                  <a:rPr lang="en-US" sz="900" b="0" i="0" u="none" strike="noStrike" kern="1200" baseline="0">
                    <a:solidFill>
                      <a:schemeClr val="tx1"/>
                    </a:solidFill>
                  </a:rPr>
                  <a:pPr>
                    <a:defRPr>
                      <a:solidFill>
                        <a:schemeClr val="tx1"/>
                      </a:solidFill>
                    </a:defRPr>
                  </a:pPr>
                  <a:t>[PERCENTAGE]</a:t>
                </a:fld>
                <a:endParaRPr lang="en-US" sz="900" b="0" i="0" u="none" strike="noStrike" kern="1200" baseline="0">
                  <a:solidFill>
                    <a:schemeClr val="tx1"/>
                  </a:solidFill>
                </a:endParaRPr>
              </a:p>
              <a:p>
                <a:pPr>
                  <a:defRPr>
                    <a:solidFill>
                      <a:schemeClr val="tx1"/>
                    </a:solidFill>
                  </a:defRPr>
                </a:pPr>
                <a:r>
                  <a:rPr lang="en-US" sz="900" b="0" i="0" u="none" strike="noStrike" kern="1200" baseline="0">
                    <a:solidFill>
                      <a:schemeClr val="tx1"/>
                    </a:solidFill>
                  </a:rPr>
                  <a:t>(</a:t>
                </a:r>
                <a:fld id="{55F0B7DE-ADCF-4A0B-9D46-62483CFE0E9E}" type="VALUE">
                  <a:rPr lang="en-US" sz="900" b="0" baseline="0">
                    <a:solidFill>
                      <a:schemeClr val="tx1"/>
                    </a:solidFill>
                  </a:rPr>
                  <a:pPr>
                    <a:defRPr>
                      <a:solidFill>
                        <a:schemeClr val="tx1"/>
                      </a:solidFill>
                    </a:defRPr>
                  </a:pPr>
                  <a:t>[VALUE]</a:t>
                </a:fld>
                <a:r>
                  <a:rPr lang="en-US" sz="900" b="0" baseline="0">
                    <a:solidFill>
                      <a:schemeClr val="tx1"/>
                    </a:solidFill>
                  </a:rPr>
                  <a:t>)</a:t>
                </a:r>
              </a:p>
            </c:rich>
          </c:tx>
          <c:spPr>
            <a:xfrm>
              <a:off x="641428" y="727196"/>
              <a:ext cx="1093009" cy="603665"/>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684"/>
                    <a:gd name="adj2" fmla="val -5395"/>
                  </a:avLst>
                </a:prstGeom>
                <a:noFill/>
                <a:ln>
                  <a:noFill/>
                </a:ln>
              </c15:spPr>
              <c15:layout>
                <c:manualLayout>
                  <c:w val="0.22897319653225165"/>
                  <c:h val="0.35346342966116151"/>
                </c:manualLayout>
              </c15:layout>
              <c15:dlblFieldTable/>
              <c15:showDataLabelsRange val="0"/>
            </c:ext>
          </c:extLst>
        </c:dLbl>
      </c:pivotFmt>
    </c:pivotFmts>
    <c:plotArea>
      <c:layout>
        <c:manualLayout>
          <c:layoutTarget val="inner"/>
          <c:xMode val="edge"/>
          <c:yMode val="edge"/>
          <c:x val="0.27948281632581162"/>
          <c:y val="4.0423428942829777E-2"/>
          <c:w val="0.47666367207454774"/>
          <c:h val="0.93451231835358362"/>
        </c:manualLayout>
      </c:layout>
      <c:pieChart>
        <c:varyColors val="1"/>
        <c:ser>
          <c:idx val="0"/>
          <c:order val="0"/>
          <c:tx>
            <c:strRef>
              <c:f>Analysis!$K$21</c:f>
              <c:strCache>
                <c:ptCount val="1"/>
                <c:pt idx="0">
                  <c:v>Total</c:v>
                </c:pt>
              </c:strCache>
            </c:strRef>
          </c:tx>
          <c:spPr>
            <a:ln>
              <a:noFill/>
            </a:ln>
          </c:spPr>
          <c:dPt>
            <c:idx val="0"/>
            <c:bubble3D val="0"/>
            <c:spPr>
              <a:solidFill>
                <a:srgbClr val="58DBAF"/>
              </a:solidFill>
              <a:ln w="19050">
                <a:noFill/>
              </a:ln>
              <a:effectLst/>
            </c:spPr>
            <c:extLst>
              <c:ext xmlns:c16="http://schemas.microsoft.com/office/drawing/2014/chart" uri="{C3380CC4-5D6E-409C-BE32-E72D297353CC}">
                <c16:uniqueId val="{00000001-51E9-4F60-99B8-6E6DEA478144}"/>
              </c:ext>
            </c:extLst>
          </c:dPt>
          <c:dPt>
            <c:idx val="1"/>
            <c:bubble3D val="0"/>
            <c:spPr>
              <a:solidFill>
                <a:srgbClr val="419FDF"/>
              </a:solidFill>
              <a:ln w="19050">
                <a:noFill/>
              </a:ln>
              <a:effectLst/>
            </c:spPr>
            <c:extLst>
              <c:ext xmlns:c16="http://schemas.microsoft.com/office/drawing/2014/chart" uri="{C3380CC4-5D6E-409C-BE32-E72D297353CC}">
                <c16:uniqueId val="{00000003-51E9-4F60-99B8-6E6DEA478144}"/>
              </c:ext>
            </c:extLst>
          </c:dPt>
          <c:dLbls>
            <c:dLbl>
              <c:idx val="0"/>
              <c:layout>
                <c:manualLayout>
                  <c:x val="-0.21548768525146478"/>
                  <c:y val="-1.6625581313428135E-2"/>
                </c:manualLayout>
              </c:layout>
              <c:tx>
                <c:rich>
                  <a:bodyPr rot="0" spcFirstLastPara="1" vertOverflow="clip" horzOverflow="clip" vert="horz" wrap="square" lIns="38100" tIns="19050" rIns="38100" bIns="19050" anchor="ctr" anchorCtr="0">
                    <a:noAutofit/>
                  </a:bodyPr>
                  <a:lstStyle/>
                  <a:p>
                    <a:pPr algn="ctr" rtl="0">
                      <a:defRPr lang="en-US" sz="800" b="1" i="0" u="none" strike="noStrike" kern="1200" baseline="0">
                        <a:solidFill>
                          <a:schemeClr val="tx1"/>
                        </a:solidFill>
                        <a:latin typeface="+mn-lt"/>
                        <a:ea typeface="+mn-ea"/>
                        <a:cs typeface="+mn-cs"/>
                      </a:defRPr>
                    </a:pPr>
                    <a:fld id="{BA6D1600-FE8B-468F-A004-9D1A85B0C029}" type="CATEGORYNAME">
                      <a:rPr lang="en-US" sz="800" b="0" i="0" u="none" strike="noStrike" kern="1200" baseline="0">
                        <a:solidFill>
                          <a:schemeClr val="tx1"/>
                        </a:solidFill>
                        <a:latin typeface="+mn-lt"/>
                        <a:ea typeface="+mn-ea"/>
                        <a:cs typeface="+mn-cs"/>
                      </a:rPr>
                      <a:pPr algn="ctr" rtl="0">
                        <a:defRPr lang="en-US" sz="800" b="1">
                          <a:solidFill>
                            <a:schemeClr val="tx1"/>
                          </a:solidFill>
                        </a:defRPr>
                      </a:pPr>
                      <a:t>[CATEGORY NAME]</a:t>
                    </a:fld>
                    <a:r>
                      <a:rPr lang="en-US" sz="800" b="0" i="0" u="none" strike="noStrike" kern="1200" baseline="0">
                        <a:solidFill>
                          <a:schemeClr val="tx1"/>
                        </a:solidFill>
                        <a:latin typeface="+mn-lt"/>
                        <a:ea typeface="+mn-ea"/>
                        <a:cs typeface="+mn-cs"/>
                      </a:rPr>
                      <a:t> </a:t>
                    </a:r>
                  </a:p>
                  <a:p>
                    <a:pPr algn="ctr" rtl="0">
                      <a:defRPr lang="en-US" sz="800" b="1">
                        <a:solidFill>
                          <a:schemeClr val="tx1"/>
                        </a:solidFill>
                      </a:defRPr>
                    </a:pPr>
                    <a:fld id="{7C481586-EA77-4DAA-A6A5-AA3080A1C9B6}" type="PERCENTAGE">
                      <a:rPr lang="en-US" sz="800" b="0" i="0" u="none" strike="noStrike" kern="1200" baseline="0">
                        <a:solidFill>
                          <a:schemeClr val="tx1"/>
                        </a:solidFill>
                        <a:latin typeface="+mn-lt"/>
                        <a:ea typeface="+mn-ea"/>
                        <a:cs typeface="+mn-cs"/>
                      </a:rPr>
                      <a:pPr algn="ctr" rtl="0">
                        <a:defRPr lang="en-US" sz="800" b="1">
                          <a:solidFill>
                            <a:schemeClr val="tx1"/>
                          </a:solidFill>
                        </a:defRPr>
                      </a:pPr>
                      <a:t>[PERCENTAGE]</a:t>
                    </a:fld>
                    <a:endParaRPr lang="en-US" sz="800" b="0" i="0" u="none" strike="noStrike" kern="1200" baseline="0">
                      <a:solidFill>
                        <a:schemeClr val="tx1"/>
                      </a:solidFill>
                      <a:latin typeface="+mn-lt"/>
                      <a:ea typeface="+mn-ea"/>
                      <a:cs typeface="+mn-cs"/>
                    </a:endParaRPr>
                  </a:p>
                  <a:p>
                    <a:pPr algn="ctr" rtl="0">
                      <a:defRPr lang="en-US" sz="800" b="1">
                        <a:solidFill>
                          <a:schemeClr val="tx1"/>
                        </a:solidFill>
                      </a:defRPr>
                    </a:pPr>
                    <a:r>
                      <a:rPr lang="en-US" sz="800" b="0" i="0" u="none" strike="noStrike" kern="1200" baseline="0">
                        <a:solidFill>
                          <a:schemeClr val="tx1"/>
                        </a:solidFill>
                        <a:latin typeface="+mn-lt"/>
                        <a:ea typeface="+mn-ea"/>
                        <a:cs typeface="+mn-cs"/>
                      </a:rPr>
                      <a:t>(</a:t>
                    </a:r>
                    <a:fld id="{9F7AFEE0-82E2-4CAE-A2F4-D7F5212B0BB7}" type="VALUE">
                      <a:rPr lang="en-US" sz="800" b="0" i="0" u="none" strike="noStrike" kern="1200" baseline="0">
                        <a:solidFill>
                          <a:schemeClr val="tx1"/>
                        </a:solidFill>
                        <a:latin typeface="+mn-lt"/>
                        <a:ea typeface="+mn-ea"/>
                        <a:cs typeface="+mn-cs"/>
                      </a:rPr>
                      <a:pPr algn="ctr" rtl="0">
                        <a:defRPr lang="en-US" sz="800" b="1">
                          <a:solidFill>
                            <a:schemeClr val="tx1"/>
                          </a:solidFill>
                        </a:defRPr>
                      </a:pPr>
                      <a:t>[VALUE]</a:t>
                    </a:fld>
                    <a:r>
                      <a:rPr lang="en-US" sz="800" b="0" i="0" u="none" strike="noStrike" kern="1200" baseline="0">
                        <a:solidFill>
                          <a:schemeClr val="tx1"/>
                        </a:solidFill>
                        <a:latin typeface="+mn-lt"/>
                        <a:ea typeface="+mn-ea"/>
                        <a:cs typeface="+mn-cs"/>
                      </a:rPr>
                      <a:t>) </a:t>
                    </a:r>
                  </a:p>
                </c:rich>
              </c:tx>
              <c:spPr>
                <a:noFill/>
                <a:ln>
                  <a:noFill/>
                </a:ln>
                <a:effectLst/>
              </c:spPr>
              <c:txPr>
                <a:bodyPr rot="0" spcFirstLastPara="1" vertOverflow="clip" horzOverflow="clip" vert="horz" wrap="square" lIns="38100" tIns="19050" rIns="38100" bIns="19050" anchor="ctr" anchorCtr="0">
                  <a:noAutofit/>
                </a:bodyPr>
                <a:lstStyle/>
                <a:p>
                  <a:pPr algn="ctr" rtl="0">
                    <a:defRPr lang="en-US"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572929646420457"/>
                      <c:h val="0.34814224902766194"/>
                    </c:manualLayout>
                  </c15:layout>
                  <c15:dlblFieldTable/>
                  <c15:showDataLabelsRange val="0"/>
                </c:ext>
                <c:ext xmlns:c16="http://schemas.microsoft.com/office/drawing/2014/chart" uri="{C3380CC4-5D6E-409C-BE32-E72D297353CC}">
                  <c16:uniqueId val="{00000001-51E9-4F60-99B8-6E6DEA478144}"/>
                </c:ext>
              </c:extLst>
            </c:dLbl>
            <c:dLbl>
              <c:idx val="1"/>
              <c:layout>
                <c:manualLayout>
                  <c:x val="0.25813692480359146"/>
                  <c:y val="2.2199214117429325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00AD6B-89DF-4825-9811-09C9D27BC450}" type="CATEGORYNAME">
                      <a:rPr lang="en-US" sz="900" b="0">
                        <a:solidFill>
                          <a:schemeClr val="tx1"/>
                        </a:solidFill>
                      </a:rPr>
                      <a:pPr>
                        <a:defRPr>
                          <a:solidFill>
                            <a:schemeClr val="tx1"/>
                          </a:solidFill>
                        </a:defRPr>
                      </a:pPr>
                      <a:t>[CATEGORY NAME]</a:t>
                    </a:fld>
                    <a:r>
                      <a:rPr lang="en-US" sz="900" b="0">
                        <a:solidFill>
                          <a:schemeClr val="tx1"/>
                        </a:solidFill>
                      </a:rPr>
                      <a:t> </a:t>
                    </a:r>
                  </a:p>
                  <a:p>
                    <a:pPr>
                      <a:defRPr>
                        <a:solidFill>
                          <a:schemeClr val="tx1"/>
                        </a:solidFill>
                      </a:defRPr>
                    </a:pPr>
                    <a:r>
                      <a:rPr lang="en-US" sz="900" b="0">
                        <a:solidFill>
                          <a:schemeClr val="tx1"/>
                        </a:solidFill>
                      </a:rPr>
                      <a:t> </a:t>
                    </a:r>
                    <a:fld id="{EFA37253-064D-4ABC-905D-2FB8A6C82267}" type="PERCENTAGE">
                      <a:rPr lang="en-US" sz="900" b="0" i="0" u="none" strike="noStrike" kern="1200" baseline="0">
                        <a:solidFill>
                          <a:schemeClr val="tx1"/>
                        </a:solidFill>
                      </a:rPr>
                      <a:pPr>
                        <a:defRPr>
                          <a:solidFill>
                            <a:schemeClr val="tx1"/>
                          </a:solidFill>
                        </a:defRPr>
                      </a:pPr>
                      <a:t>[PERCENTAGE]</a:t>
                    </a:fld>
                    <a:endParaRPr lang="en-US" sz="900" b="0" i="0" u="none" strike="noStrike" kern="1200" baseline="0">
                      <a:solidFill>
                        <a:schemeClr val="tx1"/>
                      </a:solidFill>
                    </a:endParaRPr>
                  </a:p>
                  <a:p>
                    <a:pPr>
                      <a:defRPr>
                        <a:solidFill>
                          <a:schemeClr val="tx1"/>
                        </a:solidFill>
                      </a:defRPr>
                    </a:pPr>
                    <a:r>
                      <a:rPr lang="en-US" sz="900" b="0" i="0" u="none" strike="noStrike" kern="1200" baseline="0">
                        <a:solidFill>
                          <a:schemeClr val="tx1"/>
                        </a:solidFill>
                      </a:rPr>
                      <a:t>(</a:t>
                    </a:r>
                    <a:fld id="{55F0B7DE-ADCF-4A0B-9D46-62483CFE0E9E}" type="VALUE">
                      <a:rPr lang="en-US" sz="900" b="0" baseline="0">
                        <a:solidFill>
                          <a:schemeClr val="tx1"/>
                        </a:solidFill>
                      </a:rPr>
                      <a:pPr>
                        <a:defRPr>
                          <a:solidFill>
                            <a:schemeClr val="tx1"/>
                          </a:solidFill>
                        </a:defRPr>
                      </a:pPr>
                      <a:t>[VALUE]</a:t>
                    </a:fld>
                    <a:r>
                      <a:rPr lang="en-US" sz="900" b="0" baseline="0">
                        <a:solidFill>
                          <a:schemeClr val="tx1"/>
                        </a:solidFill>
                      </a:rPr>
                      <a:t>)</a:t>
                    </a:r>
                  </a:p>
                </c:rich>
              </c:tx>
              <c:spPr>
                <a:xfrm>
                  <a:off x="641428" y="727196"/>
                  <a:ext cx="1093009" cy="603665"/>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684"/>
                        <a:gd name="adj2" fmla="val -5395"/>
                      </a:avLst>
                    </a:prstGeom>
                    <a:noFill/>
                    <a:ln>
                      <a:noFill/>
                    </a:ln>
                  </c15:spPr>
                  <c15:layout>
                    <c:manualLayout>
                      <c:w val="0.22897319653225165"/>
                      <c:h val="0.35346342966116151"/>
                    </c:manualLayout>
                  </c15:layout>
                  <c15:dlblFieldTable/>
                  <c15:showDataLabelsRange val="0"/>
                </c:ext>
                <c:ext xmlns:c16="http://schemas.microsoft.com/office/drawing/2014/chart" uri="{C3380CC4-5D6E-409C-BE32-E72D297353CC}">
                  <c16:uniqueId val="{00000003-51E9-4F60-99B8-6E6DEA478144}"/>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NG"/>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Analysis!$J$22:$J$23</c:f>
              <c:strCache>
                <c:ptCount val="2"/>
                <c:pt idx="0">
                  <c:v>New</c:v>
                </c:pt>
                <c:pt idx="1">
                  <c:v>Returning</c:v>
                </c:pt>
              </c:strCache>
            </c:strRef>
          </c:cat>
          <c:val>
            <c:numRef>
              <c:f>Analysis!$K$22:$K$23</c:f>
              <c:numCache>
                <c:formatCode>0</c:formatCode>
                <c:ptCount val="2"/>
                <c:pt idx="0">
                  <c:v>13184</c:v>
                </c:pt>
                <c:pt idx="1">
                  <c:v>12171</c:v>
                </c:pt>
              </c:numCache>
            </c:numRef>
          </c:val>
          <c:extLst>
            <c:ext xmlns:c16="http://schemas.microsoft.com/office/drawing/2014/chart" uri="{C3380CC4-5D6E-409C-BE32-E72D297353CC}">
              <c16:uniqueId val="{00000004-51E9-4F60-99B8-6E6DEA478144}"/>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Dashboard.xlsx]Analysis!Sales Rep by Revenue</c:name>
    <c:fmtId val="16"/>
  </c:pivotSource>
  <c:chart>
    <c:autoTitleDeleted val="1"/>
    <c:pivotFmts>
      <c:pivotFmt>
        <c:idx val="0"/>
      </c:pivotFmt>
      <c:pivotFmt>
        <c:idx val="1"/>
      </c:pivotFmt>
      <c:pivotFmt>
        <c:idx val="2"/>
      </c:pivotFmt>
      <c:pivotFmt>
        <c:idx val="3"/>
      </c:pivotFmt>
      <c:pivotFmt>
        <c:idx val="4"/>
        <c:spPr>
          <a:solidFill>
            <a:srgbClr val="0D8EEC"/>
          </a:solidFill>
          <a:ln w="73025">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9E5C1"/>
          </a:solidFill>
          <a:ln w="7302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D8EEC"/>
          </a:solidFill>
          <a:ln w="730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9E5C1"/>
          </a:solidFill>
          <a:ln w="73025">
            <a:noFill/>
          </a:ln>
          <a:effectLst/>
        </c:spPr>
      </c:pivotFmt>
      <c:pivotFmt>
        <c:idx val="8"/>
        <c:spPr>
          <a:solidFill>
            <a:srgbClr val="0D8EEC"/>
          </a:solidFill>
          <a:ln w="7302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9E5C1"/>
          </a:solidFill>
          <a:ln w="73025">
            <a:noFill/>
          </a:ln>
          <a:effectLst/>
        </c:spPr>
      </c:pivotFmt>
    </c:pivotFmts>
    <c:plotArea>
      <c:layout>
        <c:manualLayout>
          <c:layoutTarget val="inner"/>
          <c:xMode val="edge"/>
          <c:yMode val="edge"/>
          <c:x val="0.14506583371293463"/>
          <c:y val="0.18638198132210215"/>
          <c:w val="0.83370830712276667"/>
          <c:h val="0.69834486968198739"/>
        </c:manualLayout>
      </c:layout>
      <c:barChart>
        <c:barDir val="col"/>
        <c:grouping val="clustered"/>
        <c:varyColors val="0"/>
        <c:ser>
          <c:idx val="0"/>
          <c:order val="0"/>
          <c:tx>
            <c:strRef>
              <c:f>Analysis!$B$17</c:f>
              <c:strCache>
                <c:ptCount val="1"/>
                <c:pt idx="0">
                  <c:v>Total</c:v>
                </c:pt>
              </c:strCache>
            </c:strRef>
          </c:tx>
          <c:spPr>
            <a:solidFill>
              <a:srgbClr val="0D8EEC"/>
            </a:solidFill>
            <a:ln w="73025">
              <a:noFill/>
            </a:ln>
            <a:effectLst/>
          </c:spPr>
          <c:invertIfNegative val="0"/>
          <c:dPt>
            <c:idx val="0"/>
            <c:invertIfNegative val="0"/>
            <c:bubble3D val="0"/>
            <c:spPr>
              <a:solidFill>
                <a:srgbClr val="79E5C1"/>
              </a:solidFill>
              <a:ln w="73025">
                <a:noFill/>
              </a:ln>
              <a:effectLst/>
            </c:spPr>
            <c:extLst>
              <c:ext xmlns:c16="http://schemas.microsoft.com/office/drawing/2014/chart" uri="{C3380CC4-5D6E-409C-BE32-E72D297353CC}">
                <c16:uniqueId val="{00000001-EFD6-4FB7-AB99-B08494E884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Analysis!$A$18:$A$22</c:f>
              <c:strCache>
                <c:ptCount val="5"/>
                <c:pt idx="0">
                  <c:v>David</c:v>
                </c:pt>
                <c:pt idx="1">
                  <c:v>Eve</c:v>
                </c:pt>
                <c:pt idx="2">
                  <c:v>Bob</c:v>
                </c:pt>
                <c:pt idx="3">
                  <c:v>Alice</c:v>
                </c:pt>
                <c:pt idx="4">
                  <c:v>Charlie</c:v>
                </c:pt>
              </c:strCache>
            </c:strRef>
          </c:cat>
          <c:val>
            <c:numRef>
              <c:f>Analysis!$B$18:$B$22</c:f>
              <c:numCache>
                <c:formatCode>[&gt;=1000000]\$0.0,,"M";[&gt;=1000]\$0.0,"K";0</c:formatCode>
                <c:ptCount val="5"/>
                <c:pt idx="0">
                  <c:v>13674409.2019</c:v>
                </c:pt>
                <c:pt idx="1">
                  <c:v>12938723.959099999</c:v>
                </c:pt>
                <c:pt idx="2">
                  <c:v>11768703.708699992</c:v>
                </c:pt>
                <c:pt idx="3">
                  <c:v>11476645.563299989</c:v>
                </c:pt>
                <c:pt idx="4">
                  <c:v>9827690.8507000003</c:v>
                </c:pt>
              </c:numCache>
            </c:numRef>
          </c:val>
          <c:extLst>
            <c:ext xmlns:c16="http://schemas.microsoft.com/office/drawing/2014/chart" uri="{C3380CC4-5D6E-409C-BE32-E72D297353CC}">
              <c16:uniqueId val="{00000002-EFD6-4FB7-AB99-B08494E884AA}"/>
            </c:ext>
          </c:extLst>
        </c:ser>
        <c:dLbls>
          <c:dLblPos val="outEnd"/>
          <c:showLegendKey val="0"/>
          <c:showVal val="1"/>
          <c:showCatName val="0"/>
          <c:showSerName val="0"/>
          <c:showPercent val="0"/>
          <c:showBubbleSize val="0"/>
        </c:dLbls>
        <c:gapWidth val="114"/>
        <c:overlap val="-27"/>
        <c:axId val="1055911552"/>
        <c:axId val="1055925952"/>
      </c:barChart>
      <c:catAx>
        <c:axId val="105591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055925952"/>
        <c:crosses val="autoZero"/>
        <c:auto val="1"/>
        <c:lblAlgn val="ctr"/>
        <c:lblOffset val="100"/>
        <c:noMultiLvlLbl val="0"/>
      </c:catAx>
      <c:valAx>
        <c:axId val="1055925952"/>
        <c:scaling>
          <c:orientation val="minMax"/>
          <c:max val="14000000"/>
          <c:min val="0"/>
        </c:scaling>
        <c:delete val="0"/>
        <c:axPos val="l"/>
        <c:numFmt formatCode="[&gt;=1000000]\$0,,.&quot;M&quot;;[&gt;=1000]\$0,.&quot;K&quot;;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5911552"/>
        <c:crosses val="autoZero"/>
        <c:crossBetween val="between"/>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and Dashboard.xlsx]Analysis!Sales Channel by Revenue</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79E5C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E094"/>
          </a:solidFill>
          <a:ln w="19050">
            <a:noFill/>
          </a:ln>
          <a:effectLst/>
        </c:spPr>
        <c:dLbl>
          <c:idx val="0"/>
          <c:layout>
            <c:manualLayout>
              <c:x val="-0.2165604371464844"/>
              <c:y val="-2.244540187193581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1"/>
                  <a:t>Online - 51% (</a:t>
                </a:r>
                <a:fld id="{FE9E97E9-EAC2-4FDF-8087-CF336114CBA0}" type="VALUE">
                  <a:rPr lang="en-US" b="1"/>
                  <a:pPr>
                    <a:defRPr sz="900" b="0" i="0" u="none" strike="noStrike" kern="1200" baseline="0">
                      <a:solidFill>
                        <a:schemeClr val="tx1">
                          <a:lumMod val="75000"/>
                          <a:lumOff val="25000"/>
                        </a:schemeClr>
                      </a:solidFill>
                      <a:latin typeface="+mn-lt"/>
                      <a:ea typeface="+mn-ea"/>
                      <a:cs typeface="+mn-cs"/>
                    </a:defRPr>
                  </a:pPr>
                  <a:t>[VALUE]</a:t>
                </a:fld>
                <a:r>
                  <a:rPr lang="en-US" b="1"/>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3248399870137296"/>
                  <c:h val="0.20481949190313475"/>
                </c:manualLayout>
              </c15:layout>
              <c15:dlblFieldTable/>
              <c15:showDataLabelsRange val="0"/>
            </c:ext>
          </c:extLst>
        </c:dLbl>
      </c:pivotFmt>
      <c:pivotFmt>
        <c:idx val="6"/>
        <c:spPr>
          <a:solidFill>
            <a:srgbClr val="E8F6FF"/>
          </a:solidFill>
          <a:ln w="19050">
            <a:noFill/>
          </a:ln>
          <a:effectLst/>
        </c:spPr>
        <c:dLbl>
          <c:idx val="0"/>
          <c:layout>
            <c:manualLayout>
              <c:x val="0.23354556947169883"/>
              <c:y val="-6.3477442678155794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Retail - 49% (</a:t>
                </a:r>
                <a:fld id="{DA5E0701-47CB-404B-A0A0-40A6B585BE3F}"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r>
                  <a:rPr lang="en-US"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4309970640463199"/>
                  <c:h val="0.21540880503144655"/>
                </c:manualLayout>
              </c15:layout>
              <c15:dlblFieldTable/>
              <c15:showDataLabelsRange val="0"/>
            </c:ext>
          </c:extLst>
        </c:dLbl>
      </c:pivotFmt>
      <c:pivotFmt>
        <c:idx val="7"/>
        <c:spPr>
          <a:solidFill>
            <a:srgbClr val="79E5C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00E094"/>
          </a:solidFill>
          <a:ln w="19050">
            <a:noFill/>
          </a:ln>
          <a:effectLst/>
        </c:spPr>
        <c:dLbl>
          <c:idx val="0"/>
          <c:layout>
            <c:manualLayout>
              <c:x val="-0.2165604371464844"/>
              <c:y val="-2.244540187193581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1"/>
                  <a:t>Online - 51% (</a:t>
                </a:r>
                <a:fld id="{FE9E97E9-EAC2-4FDF-8087-CF336114CBA0}" type="VALUE">
                  <a:rPr lang="en-US" b="1"/>
                  <a:pPr>
                    <a:defRPr sz="900" b="0" i="0" u="none" strike="noStrike" kern="1200" baseline="0">
                      <a:solidFill>
                        <a:schemeClr val="tx1">
                          <a:lumMod val="75000"/>
                          <a:lumOff val="25000"/>
                        </a:schemeClr>
                      </a:solidFill>
                      <a:latin typeface="+mn-lt"/>
                      <a:ea typeface="+mn-ea"/>
                      <a:cs typeface="+mn-cs"/>
                    </a:defRPr>
                  </a:pPr>
                  <a:t>[VALUE]</a:t>
                </a:fld>
                <a:r>
                  <a:rPr lang="en-US" b="1"/>
                  <a: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3248399870137296"/>
                  <c:h val="0.20481949190313475"/>
                </c:manualLayout>
              </c15:layout>
              <c15:dlblFieldTable/>
              <c15:showDataLabelsRange val="0"/>
            </c:ext>
          </c:extLst>
        </c:dLbl>
      </c:pivotFmt>
      <c:pivotFmt>
        <c:idx val="9"/>
        <c:spPr>
          <a:solidFill>
            <a:srgbClr val="E8F6FF"/>
          </a:solidFill>
          <a:ln w="19050">
            <a:noFill/>
          </a:ln>
          <a:effectLst/>
        </c:spPr>
        <c:dLbl>
          <c:idx val="0"/>
          <c:layout>
            <c:manualLayout>
              <c:x val="0.23354556947169883"/>
              <c:y val="-6.3477442678155794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Retail - 49% (</a:t>
                </a:r>
                <a:fld id="{DA5E0701-47CB-404B-A0A0-40A6B585BE3F}" type="VALUE">
                  <a:rPr lang="en-US"/>
                  <a:pPr>
                    <a:defRPr sz="900" b="0" i="0" u="none" strike="noStrike" kern="1200" baseline="0">
                      <a:solidFill>
                        <a:schemeClr val="tx1">
                          <a:lumMod val="75000"/>
                          <a:lumOff val="25000"/>
                        </a:schemeClr>
                      </a:solidFill>
                      <a:latin typeface="+mn-lt"/>
                      <a:ea typeface="+mn-ea"/>
                      <a:cs typeface="+mn-cs"/>
                    </a:defRPr>
                  </a:pPr>
                  <a:t>[VALUE]</a:t>
                </a:fld>
                <a:r>
                  <a:rPr lang="en-US"/>
                  <a:t>)</a:t>
                </a:r>
                <a:r>
                  <a:rPr lang="en-US"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4309970640463199"/>
                  <c:h val="0.21540880503144655"/>
                </c:manualLayout>
              </c15:layout>
              <c15:dlblFieldTable/>
              <c15:showDataLabelsRange val="0"/>
            </c:ext>
          </c:extLst>
        </c:dLbl>
      </c:pivotFmt>
      <c:pivotFmt>
        <c:idx val="10"/>
        <c:spPr>
          <a:solidFill>
            <a:srgbClr val="79E5C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00E094"/>
          </a:solidFill>
          <a:ln w="19050">
            <a:noFill/>
          </a:ln>
          <a:effectLst/>
        </c:spPr>
        <c:dLbl>
          <c:idx val="0"/>
          <c:layout>
            <c:manualLayout>
              <c:x val="-0.23592878713734652"/>
              <c:y val="1.870710513926415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b="1"/>
                  <a:t>Online - 51% (</a:t>
                </a:r>
                <a:fld id="{FE9E97E9-EAC2-4FDF-8087-CF336114CBA0}" type="VALUE">
                  <a:rPr lang="en-US" b="1"/>
                  <a:pPr>
                    <a:defRPr/>
                  </a:pPr>
                  <a:t>[VALUE]</a:t>
                </a:fld>
                <a:r>
                  <a:rPr lang="en-US" b="1"/>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4069592278163926"/>
                  <c:h val="0.28712438814321517"/>
                </c:manualLayout>
              </c15:layout>
              <c15:dlblFieldTable/>
              <c15:showDataLabelsRange val="0"/>
            </c:ext>
          </c:extLst>
        </c:dLbl>
      </c:pivotFmt>
      <c:pivotFmt>
        <c:idx val="12"/>
        <c:spPr>
          <a:solidFill>
            <a:srgbClr val="E8F6FF"/>
          </a:solidFill>
          <a:ln w="19050">
            <a:noFill/>
          </a:ln>
          <a:effectLst/>
        </c:spPr>
        <c:dLbl>
          <c:idx val="0"/>
          <c:layout>
            <c:manualLayout>
              <c:x val="0.23354556947169883"/>
              <c:y val="-6.3477442678155794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Retail - 49% (</a:t>
                </a:r>
                <a:fld id="{DA5E0701-47CB-404B-A0A0-40A6B585BE3F}" type="VALUE">
                  <a:rPr lang="en-US"/>
                  <a:pPr>
                    <a:defRPr/>
                  </a:pPr>
                  <a:t>[VALUE]</a:t>
                </a:fld>
                <a:r>
                  <a:rPr lang="en-US"/>
                  <a:t>)</a:t>
                </a:r>
                <a:r>
                  <a:rPr lang="en-US"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4309970640463199"/>
                  <c:h val="0.21540880503144655"/>
                </c:manualLayout>
              </c15:layout>
              <c15:dlblFieldTable/>
              <c15:showDataLabelsRange val="0"/>
            </c:ext>
          </c:extLst>
        </c:dLbl>
      </c:pivotFmt>
    </c:pivotFmts>
    <c:plotArea>
      <c:layout>
        <c:manualLayout>
          <c:layoutTarget val="inner"/>
          <c:xMode val="edge"/>
          <c:yMode val="edge"/>
          <c:x val="0.2269450357793224"/>
          <c:y val="0.18839323961844373"/>
          <c:w val="0.50326646161911781"/>
          <c:h val="0.80625325070799148"/>
        </c:manualLayout>
      </c:layout>
      <c:pieChart>
        <c:varyColors val="1"/>
        <c:ser>
          <c:idx val="0"/>
          <c:order val="0"/>
          <c:tx>
            <c:strRef>
              <c:f>Analysis!$H$17</c:f>
              <c:strCache>
                <c:ptCount val="1"/>
                <c:pt idx="0">
                  <c:v>Total</c:v>
                </c:pt>
              </c:strCache>
            </c:strRef>
          </c:tx>
          <c:spPr>
            <a:solidFill>
              <a:srgbClr val="79E5C1"/>
            </a:solidFill>
            <a:ln>
              <a:noFill/>
            </a:ln>
          </c:spPr>
          <c:dPt>
            <c:idx val="0"/>
            <c:bubble3D val="0"/>
            <c:spPr>
              <a:solidFill>
                <a:srgbClr val="00E094"/>
              </a:solidFill>
              <a:ln w="19050">
                <a:noFill/>
              </a:ln>
              <a:effectLst/>
            </c:spPr>
            <c:extLst>
              <c:ext xmlns:c16="http://schemas.microsoft.com/office/drawing/2014/chart" uri="{C3380CC4-5D6E-409C-BE32-E72D297353CC}">
                <c16:uniqueId val="{00000001-CA65-42B4-B8C3-BAE5F2615AB0}"/>
              </c:ext>
            </c:extLst>
          </c:dPt>
          <c:dPt>
            <c:idx val="1"/>
            <c:bubble3D val="0"/>
            <c:spPr>
              <a:solidFill>
                <a:srgbClr val="E8F6FF"/>
              </a:solidFill>
              <a:ln w="19050">
                <a:noFill/>
              </a:ln>
              <a:effectLst/>
            </c:spPr>
            <c:extLst>
              <c:ext xmlns:c16="http://schemas.microsoft.com/office/drawing/2014/chart" uri="{C3380CC4-5D6E-409C-BE32-E72D297353CC}">
                <c16:uniqueId val="{00000003-CA65-42B4-B8C3-BAE5F2615AB0}"/>
              </c:ext>
            </c:extLst>
          </c:dPt>
          <c:dLbls>
            <c:dLbl>
              <c:idx val="0"/>
              <c:layout>
                <c:manualLayout>
                  <c:x val="-0.23592878713734652"/>
                  <c:y val="1.8707105139264157E-2"/>
                </c:manualLayout>
              </c:layout>
              <c:tx>
                <c:rich>
                  <a:bodyPr/>
                  <a:lstStyle/>
                  <a:p>
                    <a:r>
                      <a:rPr lang="en-US" b="1"/>
                      <a:t>Online - 51% (</a:t>
                    </a:r>
                    <a:fld id="{FE9E97E9-EAC2-4FDF-8087-CF336114CBA0}" type="VALUE">
                      <a:rPr lang="en-US" b="1"/>
                      <a:pPr/>
                      <a:t>[VALUE]</a:t>
                    </a:fld>
                    <a:r>
                      <a:rPr lang="en-US" b="1"/>
                      <a:t>)</a:t>
                    </a:r>
                  </a:p>
                </c:rich>
              </c:tx>
              <c:dLblPos val="bestFit"/>
              <c:showLegendKey val="0"/>
              <c:showVal val="1"/>
              <c:showCatName val="0"/>
              <c:showSerName val="0"/>
              <c:showPercent val="1"/>
              <c:showBubbleSize val="0"/>
              <c:extLst>
                <c:ext xmlns:c15="http://schemas.microsoft.com/office/drawing/2012/chart" uri="{CE6537A1-D6FC-4f65-9D91-7224C49458BB}">
                  <c15:layout>
                    <c:manualLayout>
                      <c:w val="0.24069592278163926"/>
                      <c:h val="0.28712438814321517"/>
                    </c:manualLayout>
                  </c15:layout>
                  <c15:dlblFieldTable/>
                  <c15:showDataLabelsRange val="0"/>
                </c:ext>
                <c:ext xmlns:c16="http://schemas.microsoft.com/office/drawing/2014/chart" uri="{C3380CC4-5D6E-409C-BE32-E72D297353CC}">
                  <c16:uniqueId val="{00000001-CA65-42B4-B8C3-BAE5F2615AB0}"/>
                </c:ext>
              </c:extLst>
            </c:dLbl>
            <c:dLbl>
              <c:idx val="1"/>
              <c:layout>
                <c:manualLayout>
                  <c:x val="0.23354556947169883"/>
                  <c:y val="-6.3477442678155794E-3"/>
                </c:manualLayout>
              </c:layout>
              <c:tx>
                <c:rich>
                  <a:bodyPr/>
                  <a:lstStyle/>
                  <a:p>
                    <a:r>
                      <a:rPr lang="en-US"/>
                      <a:t>Retail - 49% (</a:t>
                    </a:r>
                    <a:fld id="{DA5E0701-47CB-404B-A0A0-40A6B585BE3F}" type="VALUE">
                      <a:rPr lang="en-US"/>
                      <a:pPr/>
                      <a:t>[VALUE]</a:t>
                    </a:fld>
                    <a:r>
                      <a:rPr lang="en-US"/>
                      <a:t>)</a:t>
                    </a:r>
                    <a:r>
                      <a:rPr lang="en-US" baseline="0"/>
                      <a:t>,</a:t>
                    </a:r>
                  </a:p>
                </c:rich>
              </c:tx>
              <c:dLblPos val="bestFit"/>
              <c:showLegendKey val="0"/>
              <c:showVal val="1"/>
              <c:showCatName val="0"/>
              <c:showSerName val="0"/>
              <c:showPercent val="1"/>
              <c:showBubbleSize val="0"/>
              <c:extLst>
                <c:ext xmlns:c15="http://schemas.microsoft.com/office/drawing/2012/chart" uri="{CE6537A1-D6FC-4f65-9D91-7224C49458BB}">
                  <c15:layout>
                    <c:manualLayout>
                      <c:w val="0.24309970640463199"/>
                      <c:h val="0.21540880503144655"/>
                    </c:manualLayout>
                  </c15:layout>
                  <c15:dlblFieldTable/>
                  <c15:showDataLabelsRange val="0"/>
                </c:ext>
                <c:ext xmlns:c16="http://schemas.microsoft.com/office/drawing/2014/chart" uri="{C3380CC4-5D6E-409C-BE32-E72D297353CC}">
                  <c16:uniqueId val="{00000003-CA65-42B4-B8C3-BAE5F2615AB0}"/>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Analysis!$G$18:$G$19</c:f>
              <c:strCache>
                <c:ptCount val="2"/>
                <c:pt idx="0">
                  <c:v>Online</c:v>
                </c:pt>
                <c:pt idx="1">
                  <c:v>Retail</c:v>
                </c:pt>
              </c:strCache>
            </c:strRef>
          </c:cat>
          <c:val>
            <c:numRef>
              <c:f>Analysis!$H$18:$H$19</c:f>
              <c:numCache>
                <c:formatCode>[&gt;=1000000]\$0.0,,"M";[&gt;=1000]\$0.0,"K";0</c:formatCode>
                <c:ptCount val="2"/>
                <c:pt idx="0">
                  <c:v>30296019.585400034</c:v>
                </c:pt>
                <c:pt idx="1">
                  <c:v>29390153.698300004</c:v>
                </c:pt>
              </c:numCache>
            </c:numRef>
          </c:val>
          <c:extLst>
            <c:ext xmlns:c16="http://schemas.microsoft.com/office/drawing/2014/chart" uri="{C3380CC4-5D6E-409C-BE32-E72D297353CC}">
              <c16:uniqueId val="{00000004-CA65-42B4-B8C3-BAE5F2615A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20</xdr:col>
      <xdr:colOff>476250</xdr:colOff>
      <xdr:row>40</xdr:row>
      <xdr:rowOff>104776</xdr:rowOff>
    </xdr:to>
    <xdr:grpSp>
      <xdr:nvGrpSpPr>
        <xdr:cNvPr id="5" name="Group 4">
          <a:extLst>
            <a:ext uri="{FF2B5EF4-FFF2-40B4-BE49-F238E27FC236}">
              <a16:creationId xmlns:a16="http://schemas.microsoft.com/office/drawing/2014/main" id="{48D16134-429B-C3F5-0CF6-491366BD1FCF}"/>
            </a:ext>
          </a:extLst>
        </xdr:cNvPr>
        <xdr:cNvGrpSpPr/>
      </xdr:nvGrpSpPr>
      <xdr:grpSpPr>
        <a:xfrm>
          <a:off x="38100" y="0"/>
          <a:ext cx="12503150" cy="7724776"/>
          <a:chOff x="28575" y="57150"/>
          <a:chExt cx="12372975" cy="4171950"/>
        </a:xfrm>
      </xdr:grpSpPr>
      <xdr:sp macro="" textlink="">
        <xdr:nvSpPr>
          <xdr:cNvPr id="2" name="Rectangle: Rounded Corners 1">
            <a:extLst>
              <a:ext uri="{FF2B5EF4-FFF2-40B4-BE49-F238E27FC236}">
                <a16:creationId xmlns:a16="http://schemas.microsoft.com/office/drawing/2014/main" id="{CE6D9173-9162-2422-E988-B9CA3B4CF05A}"/>
              </a:ext>
            </a:extLst>
          </xdr:cNvPr>
          <xdr:cNvSpPr/>
        </xdr:nvSpPr>
        <xdr:spPr>
          <a:xfrm>
            <a:off x="28575" y="57150"/>
            <a:ext cx="12372975" cy="4171950"/>
          </a:xfrm>
          <a:prstGeom prst="roundRect">
            <a:avLst>
              <a:gd name="adj" fmla="val 5936"/>
            </a:avLst>
          </a:prstGeom>
          <a:solidFill>
            <a:srgbClr val="D8F0D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BFC0DFE0-B9E1-4DC3-4B41-B288A62E12EF}"/>
              </a:ext>
            </a:extLst>
          </xdr:cNvPr>
          <xdr:cNvSpPr/>
        </xdr:nvSpPr>
        <xdr:spPr>
          <a:xfrm>
            <a:off x="161925" y="133350"/>
            <a:ext cx="12106274" cy="4038600"/>
          </a:xfrm>
          <a:prstGeom prst="roundRect">
            <a:avLst>
              <a:gd name="adj" fmla="val 3858"/>
            </a:avLst>
          </a:prstGeom>
          <a:solidFill>
            <a:srgbClr val="FAFBF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clientData/>
  </xdr:twoCellAnchor>
  <xdr:twoCellAnchor>
    <xdr:from>
      <xdr:col>2</xdr:col>
      <xdr:colOff>542924</xdr:colOff>
      <xdr:row>2</xdr:row>
      <xdr:rowOff>142875</xdr:rowOff>
    </xdr:from>
    <xdr:to>
      <xdr:col>10</xdr:col>
      <xdr:colOff>180975</xdr:colOff>
      <xdr:row>7</xdr:row>
      <xdr:rowOff>89116</xdr:rowOff>
    </xdr:to>
    <xdr:grpSp>
      <xdr:nvGrpSpPr>
        <xdr:cNvPr id="6" name="Group 5">
          <a:extLst>
            <a:ext uri="{FF2B5EF4-FFF2-40B4-BE49-F238E27FC236}">
              <a16:creationId xmlns:a16="http://schemas.microsoft.com/office/drawing/2014/main" id="{1F3087CC-783D-4652-A414-EF5FA23522FA}"/>
            </a:ext>
          </a:extLst>
        </xdr:cNvPr>
        <xdr:cNvGrpSpPr/>
      </xdr:nvGrpSpPr>
      <xdr:grpSpPr>
        <a:xfrm>
          <a:off x="1749424" y="523875"/>
          <a:ext cx="4464051" cy="898741"/>
          <a:chOff x="1816101" y="723899"/>
          <a:chExt cx="4444999" cy="838201"/>
        </a:xfrm>
      </xdr:grpSpPr>
      <xdr:sp macro="" textlink="">
        <xdr:nvSpPr>
          <xdr:cNvPr id="7" name="Rectangle: Rounded Corners 6">
            <a:extLst>
              <a:ext uri="{FF2B5EF4-FFF2-40B4-BE49-F238E27FC236}">
                <a16:creationId xmlns:a16="http://schemas.microsoft.com/office/drawing/2014/main" id="{7DF4B1F1-279A-F4FF-145F-DF548B5AEC3B}"/>
              </a:ext>
            </a:extLst>
          </xdr:cNvPr>
          <xdr:cNvSpPr/>
        </xdr:nvSpPr>
        <xdr:spPr>
          <a:xfrm>
            <a:off x="1816101" y="723899"/>
            <a:ext cx="4444999" cy="838201"/>
          </a:xfrm>
          <a:prstGeom prst="roundRect">
            <a:avLst/>
          </a:prstGeom>
          <a:solidFill>
            <a:srgbClr val="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sp macro="" textlink="">
        <xdr:nvSpPr>
          <xdr:cNvPr id="8" name="Rectangle: Rounded Corners 7">
            <a:extLst>
              <a:ext uri="{FF2B5EF4-FFF2-40B4-BE49-F238E27FC236}">
                <a16:creationId xmlns:a16="http://schemas.microsoft.com/office/drawing/2014/main" id="{E216B35C-6580-1C40-3A74-97086A09B163}"/>
              </a:ext>
            </a:extLst>
          </xdr:cNvPr>
          <xdr:cNvSpPr/>
        </xdr:nvSpPr>
        <xdr:spPr>
          <a:xfrm>
            <a:off x="1891289" y="785414"/>
            <a:ext cx="1366262" cy="696121"/>
          </a:xfrm>
          <a:prstGeom prst="roundRect">
            <a:avLst/>
          </a:prstGeom>
          <a:solidFill>
            <a:srgbClr val="FFE2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9" name="Rectangle: Rounded Corners 8">
            <a:extLst>
              <a:ext uri="{FF2B5EF4-FFF2-40B4-BE49-F238E27FC236}">
                <a16:creationId xmlns:a16="http://schemas.microsoft.com/office/drawing/2014/main" id="{1DC2A495-D44A-842C-0501-D635004FE080}"/>
              </a:ext>
            </a:extLst>
          </xdr:cNvPr>
          <xdr:cNvSpPr/>
        </xdr:nvSpPr>
        <xdr:spPr>
          <a:xfrm>
            <a:off x="3345930" y="785414"/>
            <a:ext cx="1366262" cy="696121"/>
          </a:xfrm>
          <a:prstGeom prst="roundRect">
            <a:avLst/>
          </a:prstGeom>
          <a:solidFill>
            <a:srgbClr val="FFF4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10" name="Rectangle: Rounded Corners 9">
            <a:extLst>
              <a:ext uri="{FF2B5EF4-FFF2-40B4-BE49-F238E27FC236}">
                <a16:creationId xmlns:a16="http://schemas.microsoft.com/office/drawing/2014/main" id="{B7AD18CC-3E83-6006-737C-73633BCEF742}"/>
              </a:ext>
            </a:extLst>
          </xdr:cNvPr>
          <xdr:cNvSpPr/>
        </xdr:nvSpPr>
        <xdr:spPr>
          <a:xfrm>
            <a:off x="4800569" y="785414"/>
            <a:ext cx="1366262" cy="696121"/>
          </a:xfrm>
          <a:prstGeom prst="roundRect">
            <a:avLst/>
          </a:prstGeom>
          <a:solidFill>
            <a:srgbClr val="F4E8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total_Revenue">
        <xdr:nvSpPr>
          <xdr:cNvPr id="11" name="TextBox 10">
            <a:extLst>
              <a:ext uri="{FF2B5EF4-FFF2-40B4-BE49-F238E27FC236}">
                <a16:creationId xmlns:a16="http://schemas.microsoft.com/office/drawing/2014/main" id="{1C5B73A9-373B-CFB1-CE7B-233FC46F2F5F}"/>
              </a:ext>
            </a:extLst>
          </xdr:cNvPr>
          <xdr:cNvSpPr txBox="1"/>
        </xdr:nvSpPr>
        <xdr:spPr>
          <a:xfrm>
            <a:off x="2047875" y="819150"/>
            <a:ext cx="952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fld id="{7C4A1AFA-4A7E-402A-BD3E-5A71900B07E9}" type="TxLink">
              <a:rPr lang="en-US" sz="1800" b="1" i="0" u="none" strike="noStrike">
                <a:solidFill>
                  <a:srgbClr val="000000"/>
                </a:solidFill>
                <a:latin typeface="Calibri"/>
                <a:cs typeface="Calibri"/>
              </a:rPr>
              <a:pPr algn="l"/>
              <a:t>$59.7M</a:t>
            </a:fld>
            <a:endParaRPr lang="en-NG" sz="1800" b="1"/>
          </a:p>
        </xdr:txBody>
      </xdr:sp>
      <xdr:sp macro="" textlink="Total_Qty_Sold">
        <xdr:nvSpPr>
          <xdr:cNvPr id="12" name="TextBox 11">
            <a:extLst>
              <a:ext uri="{FF2B5EF4-FFF2-40B4-BE49-F238E27FC236}">
                <a16:creationId xmlns:a16="http://schemas.microsoft.com/office/drawing/2014/main" id="{37F9E4AD-9350-BE1F-86AA-88F0CA6B0B94}"/>
              </a:ext>
            </a:extLst>
          </xdr:cNvPr>
          <xdr:cNvSpPr txBox="1"/>
        </xdr:nvSpPr>
        <xdr:spPr>
          <a:xfrm>
            <a:off x="3590924" y="819150"/>
            <a:ext cx="952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indent="0" algn="l"/>
            <a:fld id="{07F53114-6D34-4D30-AF7B-C80B04EB00AB}" type="TxLink">
              <a:rPr lang="en-US" sz="1800" b="1" i="0" u="none" strike="noStrike">
                <a:solidFill>
                  <a:srgbClr val="000000"/>
                </a:solidFill>
                <a:latin typeface="Calibri"/>
                <a:ea typeface="+mn-ea"/>
                <a:cs typeface="Calibri"/>
              </a:rPr>
              <a:pPr marL="0" indent="0" algn="l"/>
              <a:t>25355</a:t>
            </a:fld>
            <a:endParaRPr lang="en-NG" sz="1800" b="1" i="0" u="none" strike="noStrike">
              <a:solidFill>
                <a:srgbClr val="000000"/>
              </a:solidFill>
              <a:latin typeface="Calibri"/>
              <a:ea typeface="+mn-ea"/>
              <a:cs typeface="Calibri"/>
            </a:endParaRPr>
          </a:p>
        </xdr:txBody>
      </xdr:sp>
      <xdr:sp macro="" textlink="Avg_Discount">
        <xdr:nvSpPr>
          <xdr:cNvPr id="13" name="TextBox 12">
            <a:extLst>
              <a:ext uri="{FF2B5EF4-FFF2-40B4-BE49-F238E27FC236}">
                <a16:creationId xmlns:a16="http://schemas.microsoft.com/office/drawing/2014/main" id="{12CF30AF-0514-BD7B-07F4-7FC002FE81C1}"/>
              </a:ext>
            </a:extLst>
          </xdr:cNvPr>
          <xdr:cNvSpPr txBox="1"/>
        </xdr:nvSpPr>
        <xdr:spPr>
          <a:xfrm>
            <a:off x="4962525" y="819150"/>
            <a:ext cx="952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indent="0" algn="l"/>
            <a:fld id="{270B85D1-D9D5-4587-9641-3FFA436E9B0E}" type="TxLink">
              <a:rPr lang="en-US" sz="1800" b="1" i="0" u="none" strike="noStrike">
                <a:solidFill>
                  <a:srgbClr val="000000"/>
                </a:solidFill>
                <a:latin typeface="Calibri"/>
                <a:ea typeface="+mn-ea"/>
                <a:cs typeface="Calibri"/>
              </a:rPr>
              <a:pPr marL="0" indent="0" algn="l"/>
              <a:t>15%</a:t>
            </a:fld>
            <a:endParaRPr lang="en-NG" sz="1800" b="1" i="0" u="none" strike="noStrike">
              <a:solidFill>
                <a:srgbClr val="000000"/>
              </a:solidFill>
              <a:latin typeface="Calibri"/>
              <a:ea typeface="+mn-ea"/>
              <a:cs typeface="Calibri"/>
            </a:endParaRPr>
          </a:p>
        </xdr:txBody>
      </xdr:sp>
      <xdr:sp macro="" textlink="">
        <xdr:nvSpPr>
          <xdr:cNvPr id="14" name="TextBox 13">
            <a:extLst>
              <a:ext uri="{FF2B5EF4-FFF2-40B4-BE49-F238E27FC236}">
                <a16:creationId xmlns:a16="http://schemas.microsoft.com/office/drawing/2014/main" id="{9F51938C-FC05-550B-B178-73FD8BA7C235}"/>
              </a:ext>
            </a:extLst>
          </xdr:cNvPr>
          <xdr:cNvSpPr txBox="1"/>
        </xdr:nvSpPr>
        <xdr:spPr>
          <a:xfrm>
            <a:off x="2121983" y="1243410"/>
            <a:ext cx="102913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a:solidFill>
                  <a:schemeClr val="dk1"/>
                </a:solidFill>
                <a:effectLst/>
                <a:latin typeface="Arial" panose="020B0604020202020204" pitchFamily="34" charset="0"/>
                <a:ea typeface="+mn-ea"/>
                <a:cs typeface="Arial" panose="020B0604020202020204" pitchFamily="34" charset="0"/>
              </a:rPr>
              <a:t>Revenue</a:t>
            </a:r>
            <a:endParaRPr lang="en-NG" sz="1000">
              <a:effectLst/>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1E7E3CA0-5483-BDB9-5292-F4CD22068552}"/>
              </a:ext>
            </a:extLst>
          </xdr:cNvPr>
          <xdr:cNvSpPr txBox="1"/>
        </xdr:nvSpPr>
        <xdr:spPr>
          <a:xfrm>
            <a:off x="3576624" y="1243411"/>
            <a:ext cx="102913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a:solidFill>
                  <a:schemeClr val="dk1"/>
                </a:solidFill>
                <a:effectLst/>
                <a:latin typeface="Arial" panose="020B0604020202020204" pitchFamily="34" charset="0"/>
                <a:ea typeface="+mn-ea"/>
                <a:cs typeface="Arial" panose="020B0604020202020204" pitchFamily="34" charset="0"/>
              </a:rPr>
              <a:t>Total</a:t>
            </a:r>
            <a:r>
              <a:rPr lang="en-US" sz="1100" b="1" i="0" baseline="0">
                <a:solidFill>
                  <a:schemeClr val="dk1"/>
                </a:solidFill>
                <a:effectLst/>
                <a:latin typeface="Arial" panose="020B0604020202020204" pitchFamily="34" charset="0"/>
                <a:ea typeface="+mn-ea"/>
                <a:cs typeface="Arial" panose="020B0604020202020204" pitchFamily="34" charset="0"/>
              </a:rPr>
              <a:t> Sales</a:t>
            </a:r>
            <a:endParaRPr lang="en-NG" sz="1000">
              <a:effectLst/>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4F5C50BA-1FAF-6398-F0C6-FD17EBCBFB60}"/>
              </a:ext>
            </a:extLst>
          </xdr:cNvPr>
          <xdr:cNvSpPr txBox="1"/>
        </xdr:nvSpPr>
        <xdr:spPr>
          <a:xfrm>
            <a:off x="4988386" y="1243410"/>
            <a:ext cx="112666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a:solidFill>
                  <a:schemeClr val="dk1"/>
                </a:solidFill>
                <a:effectLst/>
                <a:latin typeface="Arial" panose="020B0604020202020204" pitchFamily="34" charset="0"/>
                <a:ea typeface="+mn-ea"/>
                <a:cs typeface="Arial" panose="020B0604020202020204" pitchFamily="34" charset="0"/>
              </a:rPr>
              <a:t>Avg.</a:t>
            </a:r>
            <a:r>
              <a:rPr lang="en-US" sz="1100" b="1" i="0" baseline="0">
                <a:solidFill>
                  <a:schemeClr val="dk1"/>
                </a:solidFill>
                <a:effectLst/>
                <a:latin typeface="Arial" panose="020B0604020202020204" pitchFamily="34" charset="0"/>
                <a:ea typeface="+mn-ea"/>
                <a:cs typeface="Arial" panose="020B0604020202020204" pitchFamily="34" charset="0"/>
              </a:rPr>
              <a:t> Discount</a:t>
            </a:r>
            <a:endParaRPr lang="en-NG" sz="1000">
              <a:effectLst/>
              <a:latin typeface="Arial" panose="020B0604020202020204" pitchFamily="34" charset="0"/>
              <a:cs typeface="Arial" panose="020B0604020202020204" pitchFamily="34" charset="0"/>
            </a:endParaRPr>
          </a:p>
        </xdr:txBody>
      </xdr:sp>
    </xdr:grpSp>
    <xdr:clientData/>
  </xdr:twoCellAnchor>
  <xdr:twoCellAnchor>
    <xdr:from>
      <xdr:col>6</xdr:col>
      <xdr:colOff>528637</xdr:colOff>
      <xdr:row>0</xdr:row>
      <xdr:rowOff>171449</xdr:rowOff>
    </xdr:from>
    <xdr:to>
      <xdr:col>13</xdr:col>
      <xdr:colOff>319087</xdr:colOff>
      <xdr:row>2</xdr:row>
      <xdr:rowOff>102514</xdr:rowOff>
    </xdr:to>
    <xdr:sp macro="" textlink="">
      <xdr:nvSpPr>
        <xdr:cNvPr id="17" name="Rectangle 16">
          <a:extLst>
            <a:ext uri="{FF2B5EF4-FFF2-40B4-BE49-F238E27FC236}">
              <a16:creationId xmlns:a16="http://schemas.microsoft.com/office/drawing/2014/main" id="{9FDE1A12-76D7-431A-91F4-252A32FEB067}"/>
            </a:ext>
          </a:extLst>
        </xdr:cNvPr>
        <xdr:cNvSpPr/>
      </xdr:nvSpPr>
      <xdr:spPr>
        <a:xfrm>
          <a:off x="4148137" y="171449"/>
          <a:ext cx="4013200" cy="3120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a:solidFill>
                <a:srgbClr val="37365B"/>
              </a:solidFill>
              <a:latin typeface="Arial" panose="020B0604020202020204" pitchFamily="34" charset="0"/>
              <a:cs typeface="Arial" panose="020B0604020202020204" pitchFamily="34" charset="0"/>
            </a:rPr>
            <a:t>Sales</a:t>
          </a:r>
          <a:r>
            <a:rPr lang="en-US" sz="2000" baseline="0">
              <a:solidFill>
                <a:srgbClr val="37365B"/>
              </a:solidFill>
              <a:latin typeface="Arial" panose="020B0604020202020204" pitchFamily="34" charset="0"/>
              <a:cs typeface="Arial" panose="020B0604020202020204" pitchFamily="34" charset="0"/>
            </a:rPr>
            <a:t> performance Dashboard </a:t>
          </a:r>
          <a:endParaRPr lang="en-NG" sz="2000">
            <a:solidFill>
              <a:srgbClr val="37365B"/>
            </a:solidFill>
            <a:latin typeface="Arial" panose="020B0604020202020204" pitchFamily="34" charset="0"/>
            <a:cs typeface="Arial" panose="020B0604020202020204" pitchFamily="34" charset="0"/>
          </a:endParaRPr>
        </a:p>
      </xdr:txBody>
    </xdr:sp>
    <xdr:clientData/>
  </xdr:twoCellAnchor>
  <xdr:twoCellAnchor>
    <xdr:from>
      <xdr:col>2</xdr:col>
      <xdr:colOff>542925</xdr:colOff>
      <xdr:row>8</xdr:row>
      <xdr:rowOff>47623</xdr:rowOff>
    </xdr:from>
    <xdr:to>
      <xdr:col>9</xdr:col>
      <xdr:colOff>504825</xdr:colOff>
      <xdr:row>22</xdr:row>
      <xdr:rowOff>104775</xdr:rowOff>
    </xdr:to>
    <xdr:sp macro="" textlink="">
      <xdr:nvSpPr>
        <xdr:cNvPr id="19" name="Rectangle: Rounded Corners 18">
          <a:extLst>
            <a:ext uri="{FF2B5EF4-FFF2-40B4-BE49-F238E27FC236}">
              <a16:creationId xmlns:a16="http://schemas.microsoft.com/office/drawing/2014/main" id="{1825AB28-D8B0-D52E-35BC-DE11F0EE88A0}"/>
            </a:ext>
          </a:extLst>
        </xdr:cNvPr>
        <xdr:cNvSpPr/>
      </xdr:nvSpPr>
      <xdr:spPr>
        <a:xfrm>
          <a:off x="1749425" y="1571623"/>
          <a:ext cx="4184650" cy="2724152"/>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clientData/>
  </xdr:twoCellAnchor>
  <xdr:twoCellAnchor>
    <xdr:from>
      <xdr:col>2</xdr:col>
      <xdr:colOff>561975</xdr:colOff>
      <xdr:row>23</xdr:row>
      <xdr:rowOff>76200</xdr:rowOff>
    </xdr:from>
    <xdr:to>
      <xdr:col>9</xdr:col>
      <xdr:colOff>571500</xdr:colOff>
      <xdr:row>39</xdr:row>
      <xdr:rowOff>76200</xdr:rowOff>
    </xdr:to>
    <xdr:sp macro="" textlink="">
      <xdr:nvSpPr>
        <xdr:cNvPr id="20" name="Rectangle: Rounded Corners 19">
          <a:extLst>
            <a:ext uri="{FF2B5EF4-FFF2-40B4-BE49-F238E27FC236}">
              <a16:creationId xmlns:a16="http://schemas.microsoft.com/office/drawing/2014/main" id="{C5D7AE5C-FF19-5931-7DDD-8BB9AAE233D4}"/>
            </a:ext>
          </a:extLst>
        </xdr:cNvPr>
        <xdr:cNvSpPr/>
      </xdr:nvSpPr>
      <xdr:spPr>
        <a:xfrm>
          <a:off x="1768475" y="4457700"/>
          <a:ext cx="4232275" cy="3048000"/>
        </a:xfrm>
        <a:prstGeom prst="roundRect">
          <a:avLst>
            <a:gd name="adj" fmla="val 3553"/>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clientData/>
  </xdr:twoCellAnchor>
  <xdr:twoCellAnchor>
    <xdr:from>
      <xdr:col>10</xdr:col>
      <xdr:colOff>114300</xdr:colOff>
      <xdr:row>19</xdr:row>
      <xdr:rowOff>9524</xdr:rowOff>
    </xdr:from>
    <xdr:to>
      <xdr:col>15</xdr:col>
      <xdr:colOff>25400</xdr:colOff>
      <xdr:row>29</xdr:row>
      <xdr:rowOff>9525</xdr:rowOff>
    </xdr:to>
    <xdr:sp macro="" textlink="">
      <xdr:nvSpPr>
        <xdr:cNvPr id="23" name="Rectangle: Rounded Corners 22">
          <a:extLst>
            <a:ext uri="{FF2B5EF4-FFF2-40B4-BE49-F238E27FC236}">
              <a16:creationId xmlns:a16="http://schemas.microsoft.com/office/drawing/2014/main" id="{362D5D3B-C3D3-3C20-E265-47F42323F7CD}"/>
            </a:ext>
          </a:extLst>
        </xdr:cNvPr>
        <xdr:cNvSpPr/>
      </xdr:nvSpPr>
      <xdr:spPr>
        <a:xfrm>
          <a:off x="6146800" y="3629024"/>
          <a:ext cx="2927350" cy="1905001"/>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clientData/>
  </xdr:twoCellAnchor>
  <xdr:twoCellAnchor>
    <xdr:from>
      <xdr:col>10</xdr:col>
      <xdr:colOff>130175</xdr:colOff>
      <xdr:row>29</xdr:row>
      <xdr:rowOff>85724</xdr:rowOff>
    </xdr:from>
    <xdr:to>
      <xdr:col>15</xdr:col>
      <xdr:colOff>31750</xdr:colOff>
      <xdr:row>39</xdr:row>
      <xdr:rowOff>95250</xdr:rowOff>
    </xdr:to>
    <xdr:sp macro="" textlink="">
      <xdr:nvSpPr>
        <xdr:cNvPr id="24" name="Rectangle: Rounded Corners 23">
          <a:extLst>
            <a:ext uri="{FF2B5EF4-FFF2-40B4-BE49-F238E27FC236}">
              <a16:creationId xmlns:a16="http://schemas.microsoft.com/office/drawing/2014/main" id="{D3064827-C3AE-5878-9C49-C557882AC806}"/>
            </a:ext>
          </a:extLst>
        </xdr:cNvPr>
        <xdr:cNvSpPr/>
      </xdr:nvSpPr>
      <xdr:spPr>
        <a:xfrm>
          <a:off x="6162675" y="5610224"/>
          <a:ext cx="2917825" cy="1914526"/>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clientData/>
  </xdr:twoCellAnchor>
  <xdr:twoCellAnchor>
    <xdr:from>
      <xdr:col>15</xdr:col>
      <xdr:colOff>177800</xdr:colOff>
      <xdr:row>7</xdr:row>
      <xdr:rowOff>171449</xdr:rowOff>
    </xdr:from>
    <xdr:to>
      <xdr:col>20</xdr:col>
      <xdr:colOff>177801</xdr:colOff>
      <xdr:row>39</xdr:row>
      <xdr:rowOff>76200</xdr:rowOff>
    </xdr:to>
    <xdr:grpSp>
      <xdr:nvGrpSpPr>
        <xdr:cNvPr id="67" name="Group 66">
          <a:extLst>
            <a:ext uri="{FF2B5EF4-FFF2-40B4-BE49-F238E27FC236}">
              <a16:creationId xmlns:a16="http://schemas.microsoft.com/office/drawing/2014/main" id="{32D369F8-8EEE-F281-DD6A-820134509603}"/>
            </a:ext>
          </a:extLst>
        </xdr:cNvPr>
        <xdr:cNvGrpSpPr/>
      </xdr:nvGrpSpPr>
      <xdr:grpSpPr>
        <a:xfrm>
          <a:off x="9226550" y="1504949"/>
          <a:ext cx="3016251" cy="6000751"/>
          <a:chOff x="9036050" y="1504949"/>
          <a:chExt cx="3016251" cy="6000751"/>
        </a:xfrm>
      </xdr:grpSpPr>
      <xdr:sp macro="" textlink="">
        <xdr:nvSpPr>
          <xdr:cNvPr id="25" name="Rectangle: Rounded Corners 24">
            <a:extLst>
              <a:ext uri="{FF2B5EF4-FFF2-40B4-BE49-F238E27FC236}">
                <a16:creationId xmlns:a16="http://schemas.microsoft.com/office/drawing/2014/main" id="{C2ECB758-04B5-F740-36E8-EF35429E266F}"/>
              </a:ext>
            </a:extLst>
          </xdr:cNvPr>
          <xdr:cNvSpPr/>
        </xdr:nvSpPr>
        <xdr:spPr>
          <a:xfrm>
            <a:off x="9036050" y="1504949"/>
            <a:ext cx="2968626" cy="2790826"/>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sp macro="" textlink="">
        <xdr:nvSpPr>
          <xdr:cNvPr id="26" name="Rectangle: Rounded Corners 25">
            <a:extLst>
              <a:ext uri="{FF2B5EF4-FFF2-40B4-BE49-F238E27FC236}">
                <a16:creationId xmlns:a16="http://schemas.microsoft.com/office/drawing/2014/main" id="{08EDC865-094B-3316-BED2-C6D5325318D9}"/>
              </a:ext>
            </a:extLst>
          </xdr:cNvPr>
          <xdr:cNvSpPr/>
        </xdr:nvSpPr>
        <xdr:spPr>
          <a:xfrm>
            <a:off x="9045575" y="4476750"/>
            <a:ext cx="3006726" cy="3028950"/>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grpSp>
    <xdr:clientData/>
  </xdr:twoCellAnchor>
  <xdr:twoCellAnchor>
    <xdr:from>
      <xdr:col>0</xdr:col>
      <xdr:colOff>333375</xdr:colOff>
      <xdr:row>2</xdr:row>
      <xdr:rowOff>142875</xdr:rowOff>
    </xdr:from>
    <xdr:to>
      <xdr:col>2</xdr:col>
      <xdr:colOff>361952</xdr:colOff>
      <xdr:row>39</xdr:row>
      <xdr:rowOff>59721</xdr:rowOff>
    </xdr:to>
    <xdr:grpSp>
      <xdr:nvGrpSpPr>
        <xdr:cNvPr id="27" name="Group 26">
          <a:extLst>
            <a:ext uri="{FF2B5EF4-FFF2-40B4-BE49-F238E27FC236}">
              <a16:creationId xmlns:a16="http://schemas.microsoft.com/office/drawing/2014/main" id="{1B7D3F6E-ACE3-47E5-B011-749DFCF9D393}"/>
            </a:ext>
          </a:extLst>
        </xdr:cNvPr>
        <xdr:cNvGrpSpPr/>
      </xdr:nvGrpSpPr>
      <xdr:grpSpPr>
        <a:xfrm>
          <a:off x="333375" y="523875"/>
          <a:ext cx="1235077" cy="6965346"/>
          <a:chOff x="114300" y="136071"/>
          <a:chExt cx="1247777" cy="6965346"/>
        </a:xfrm>
      </xdr:grpSpPr>
      <xdr:sp macro="" textlink="">
        <xdr:nvSpPr>
          <xdr:cNvPr id="28" name="Rectangle: Rounded Corners 27">
            <a:extLst>
              <a:ext uri="{FF2B5EF4-FFF2-40B4-BE49-F238E27FC236}">
                <a16:creationId xmlns:a16="http://schemas.microsoft.com/office/drawing/2014/main" id="{924B96D8-A0A6-33B1-4E00-6ABDBD8EA947}"/>
              </a:ext>
            </a:extLst>
          </xdr:cNvPr>
          <xdr:cNvSpPr/>
        </xdr:nvSpPr>
        <xdr:spPr>
          <a:xfrm>
            <a:off x="114300" y="136071"/>
            <a:ext cx="1247777" cy="6965346"/>
          </a:xfrm>
          <a:prstGeom prst="roundRect">
            <a:avLst>
              <a:gd name="adj" fmla="val 12494"/>
            </a:avLst>
          </a:prstGeom>
          <a:ln>
            <a:solidFill>
              <a:schemeClr val="accent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NG" sz="1100"/>
          </a:p>
        </xdr:txBody>
      </xdr:sp>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D6B66FB-F5D0-D13F-0AA1-053A05C6BE27}"/>
                  </a:ext>
                </a:extLst>
              </xdr:cNvPr>
              <xdr:cNvGraphicFramePr>
                <a:graphicFrameLocks/>
              </xdr:cNvGraphicFramePr>
            </xdr:nvGraphicFramePr>
            <xdr:xfrm>
              <a:off x="171450" y="322907"/>
              <a:ext cx="1146776" cy="4660285"/>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0525" y="710711"/>
                <a:ext cx="1146776" cy="46602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28575</xdr:colOff>
      <xdr:row>12</xdr:row>
      <xdr:rowOff>0</xdr:rowOff>
    </xdr:from>
    <xdr:to>
      <xdr:col>9</xdr:col>
      <xdr:colOff>285750</xdr:colOff>
      <xdr:row>21</xdr:row>
      <xdr:rowOff>104775</xdr:rowOff>
    </xdr:to>
    <xdr:graphicFrame macro="">
      <xdr:nvGraphicFramePr>
        <xdr:cNvPr id="33" name="Chart 32">
          <a:extLst>
            <a:ext uri="{FF2B5EF4-FFF2-40B4-BE49-F238E27FC236}">
              <a16:creationId xmlns:a16="http://schemas.microsoft.com/office/drawing/2014/main" id="{CF7596F3-1333-4082-BA8B-772FAE439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571499</xdr:colOff>
      <xdr:row>8</xdr:row>
      <xdr:rowOff>47625</xdr:rowOff>
    </xdr:from>
    <xdr:to>
      <xdr:col>9</xdr:col>
      <xdr:colOff>409575</xdr:colOff>
      <xdr:row>9</xdr:row>
      <xdr:rowOff>133349</xdr:rowOff>
    </xdr:to>
    <xdr:sp macro="" textlink="">
      <xdr:nvSpPr>
        <xdr:cNvPr id="34" name="TextBox 33">
          <a:extLst>
            <a:ext uri="{FF2B5EF4-FFF2-40B4-BE49-F238E27FC236}">
              <a16:creationId xmlns:a16="http://schemas.microsoft.com/office/drawing/2014/main" id="{74E23AD0-1508-4095-A093-8EAC492E26BF}"/>
            </a:ext>
          </a:extLst>
        </xdr:cNvPr>
        <xdr:cNvSpPr txBox="1"/>
      </xdr:nvSpPr>
      <xdr:spPr>
        <a:xfrm>
          <a:off x="1790699" y="1571625"/>
          <a:ext cx="4105276"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Impact</a:t>
          </a:r>
          <a:r>
            <a:rPr lang="en-US" sz="1400" b="1" baseline="0"/>
            <a:t> of Discount on Sales Performance by Product</a:t>
          </a:r>
          <a:endParaRPr lang="en-NG" sz="1400" b="1"/>
        </a:p>
      </xdr:txBody>
    </xdr:sp>
    <xdr:clientData/>
  </xdr:twoCellAnchor>
  <xdr:twoCellAnchor>
    <xdr:from>
      <xdr:col>3</xdr:col>
      <xdr:colOff>447676</xdr:colOff>
      <xdr:row>9</xdr:row>
      <xdr:rowOff>104774</xdr:rowOff>
    </xdr:from>
    <xdr:to>
      <xdr:col>9</xdr:col>
      <xdr:colOff>238125</xdr:colOff>
      <xdr:row>11</xdr:row>
      <xdr:rowOff>133349</xdr:rowOff>
    </xdr:to>
    <xdr:sp macro="" textlink="">
      <xdr:nvSpPr>
        <xdr:cNvPr id="35" name="TextBox 34">
          <a:extLst>
            <a:ext uri="{FF2B5EF4-FFF2-40B4-BE49-F238E27FC236}">
              <a16:creationId xmlns:a16="http://schemas.microsoft.com/office/drawing/2014/main" id="{DA8B40A5-795E-85E9-4D16-AE278C08A821}"/>
            </a:ext>
          </a:extLst>
        </xdr:cNvPr>
        <xdr:cNvSpPr txBox="1"/>
      </xdr:nvSpPr>
      <xdr:spPr>
        <a:xfrm>
          <a:off x="2276476" y="1819274"/>
          <a:ext cx="34480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0" i="1"/>
            <a:t>Sales</a:t>
          </a:r>
          <a:r>
            <a:rPr lang="en-US" sz="900" b="0" i="1" baseline="0"/>
            <a:t> performance was driven more by demand than Discount rate</a:t>
          </a:r>
          <a:endParaRPr lang="en-NG" sz="900" b="0" i="1"/>
        </a:p>
      </xdr:txBody>
    </xdr:sp>
    <xdr:clientData/>
  </xdr:twoCellAnchor>
  <xdr:twoCellAnchor>
    <xdr:from>
      <xdr:col>2</xdr:col>
      <xdr:colOff>600075</xdr:colOff>
      <xdr:row>28</xdr:row>
      <xdr:rowOff>123825</xdr:rowOff>
    </xdr:from>
    <xdr:to>
      <xdr:col>9</xdr:col>
      <xdr:colOff>571500</xdr:colOff>
      <xdr:row>39</xdr:row>
      <xdr:rowOff>81187</xdr:rowOff>
    </xdr:to>
    <xdr:graphicFrame macro="">
      <xdr:nvGraphicFramePr>
        <xdr:cNvPr id="36" name="Chart 35">
          <a:extLst>
            <a:ext uri="{FF2B5EF4-FFF2-40B4-BE49-F238E27FC236}">
              <a16:creationId xmlns:a16="http://schemas.microsoft.com/office/drawing/2014/main" id="{A4C79E36-D887-4592-9517-B94CD3421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409576</xdr:colOff>
      <xdr:row>23</xdr:row>
      <xdr:rowOff>161926</xdr:rowOff>
    </xdr:from>
    <xdr:to>
      <xdr:col>7</xdr:col>
      <xdr:colOff>438150</xdr:colOff>
      <xdr:row>25</xdr:row>
      <xdr:rowOff>66676</xdr:rowOff>
    </xdr:to>
    <xdr:sp macro="" textlink="">
      <xdr:nvSpPr>
        <xdr:cNvPr id="37" name="TextBox 36">
          <a:extLst>
            <a:ext uri="{FF2B5EF4-FFF2-40B4-BE49-F238E27FC236}">
              <a16:creationId xmlns:a16="http://schemas.microsoft.com/office/drawing/2014/main" id="{4FB062B4-2B87-EE3A-1515-C39029678422}"/>
            </a:ext>
          </a:extLst>
        </xdr:cNvPr>
        <xdr:cNvSpPr txBox="1"/>
      </xdr:nvSpPr>
      <xdr:spPr>
        <a:xfrm>
          <a:off x="2847976" y="4543426"/>
          <a:ext cx="18573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mn-lt"/>
              <a:ea typeface="+mn-ea"/>
              <a:cs typeface="+mn-cs"/>
            </a:rPr>
            <a:t>Sales Trend over Time</a:t>
          </a:r>
          <a:endParaRPr lang="en-NG" sz="1400">
            <a:effectLst/>
          </a:endParaRPr>
        </a:p>
        <a:p>
          <a:endParaRPr lang="en-NG" sz="1100"/>
        </a:p>
      </xdr:txBody>
    </xdr:sp>
    <xdr:clientData/>
  </xdr:twoCellAnchor>
  <xdr:twoCellAnchor>
    <xdr:from>
      <xdr:col>9</xdr:col>
      <xdr:colOff>523875</xdr:colOff>
      <xdr:row>7</xdr:row>
      <xdr:rowOff>171450</xdr:rowOff>
    </xdr:from>
    <xdr:to>
      <xdr:col>15</xdr:col>
      <xdr:colOff>15874</xdr:colOff>
      <xdr:row>18</xdr:row>
      <xdr:rowOff>76200</xdr:rowOff>
    </xdr:to>
    <xdr:grpSp>
      <xdr:nvGrpSpPr>
        <xdr:cNvPr id="45" name="Group 44">
          <a:extLst>
            <a:ext uri="{FF2B5EF4-FFF2-40B4-BE49-F238E27FC236}">
              <a16:creationId xmlns:a16="http://schemas.microsoft.com/office/drawing/2014/main" id="{064DCF46-ED79-121B-04D5-0470C595A11B}"/>
            </a:ext>
          </a:extLst>
        </xdr:cNvPr>
        <xdr:cNvGrpSpPr/>
      </xdr:nvGrpSpPr>
      <xdr:grpSpPr>
        <a:xfrm>
          <a:off x="5953125" y="1504950"/>
          <a:ext cx="3111499" cy="2000250"/>
          <a:chOff x="5943600" y="1504950"/>
          <a:chExt cx="3143249" cy="2000250"/>
        </a:xfrm>
      </xdr:grpSpPr>
      <xdr:sp macro="" textlink="">
        <xdr:nvSpPr>
          <xdr:cNvPr id="21" name="Rectangle: Rounded Corners 20">
            <a:extLst>
              <a:ext uri="{FF2B5EF4-FFF2-40B4-BE49-F238E27FC236}">
                <a16:creationId xmlns:a16="http://schemas.microsoft.com/office/drawing/2014/main" id="{7540187E-DA65-66A2-3614-BF40A478553E}"/>
              </a:ext>
            </a:extLst>
          </xdr:cNvPr>
          <xdr:cNvSpPr/>
        </xdr:nvSpPr>
        <xdr:spPr>
          <a:xfrm>
            <a:off x="6076950" y="1504950"/>
            <a:ext cx="3009899" cy="2000250"/>
          </a:xfrm>
          <a:prstGeom prst="roundRect">
            <a:avLst>
              <a:gd name="adj" fmla="val 6167"/>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graphicFrame macro="">
        <xdr:nvGraphicFramePr>
          <xdr:cNvPr id="41" name="Chart 40">
            <a:extLst>
              <a:ext uri="{FF2B5EF4-FFF2-40B4-BE49-F238E27FC236}">
                <a16:creationId xmlns:a16="http://schemas.microsoft.com/office/drawing/2014/main" id="{F743DB58-1C5E-48BC-9FBC-71B004A91487}"/>
              </a:ext>
            </a:extLst>
          </xdr:cNvPr>
          <xdr:cNvGraphicFramePr>
            <a:graphicFrameLocks/>
          </xdr:cNvGraphicFramePr>
        </xdr:nvGraphicFramePr>
        <xdr:xfrm>
          <a:off x="5943600" y="2105025"/>
          <a:ext cx="2781298" cy="134183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2" name="TextBox 41">
            <a:extLst>
              <a:ext uri="{FF2B5EF4-FFF2-40B4-BE49-F238E27FC236}">
                <a16:creationId xmlns:a16="http://schemas.microsoft.com/office/drawing/2014/main" id="{0E0A5934-0F6B-4559-B6DE-55EC1F8AD598}"/>
              </a:ext>
            </a:extLst>
          </xdr:cNvPr>
          <xdr:cNvSpPr txBox="1"/>
        </xdr:nvSpPr>
        <xdr:spPr>
          <a:xfrm>
            <a:off x="6286499" y="1552576"/>
            <a:ext cx="2543175"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dk1"/>
                </a:solidFill>
              </a:rPr>
              <a:t>Payment </a:t>
            </a:r>
            <a:r>
              <a:rPr lang="en-US" sz="1400" b="1" baseline="0">
                <a:solidFill>
                  <a:schemeClr val="dk1"/>
                </a:solidFill>
              </a:rPr>
              <a:t> Method Distribution </a:t>
            </a:r>
            <a:endParaRPr lang="en-NG" sz="1400" b="1">
              <a:solidFill>
                <a:schemeClr val="dk1"/>
              </a:solidFill>
            </a:endParaRPr>
          </a:p>
        </xdr:txBody>
      </xdr:sp>
      <xdr:sp macro="" textlink="">
        <xdr:nvSpPr>
          <xdr:cNvPr id="43" name="TextBox 42">
            <a:extLst>
              <a:ext uri="{FF2B5EF4-FFF2-40B4-BE49-F238E27FC236}">
                <a16:creationId xmlns:a16="http://schemas.microsoft.com/office/drawing/2014/main" id="{0F4F0D5B-EFC8-474E-BABB-5E6F7B1CD8C8}"/>
              </a:ext>
            </a:extLst>
          </xdr:cNvPr>
          <xdr:cNvSpPr txBox="1"/>
        </xdr:nvSpPr>
        <xdr:spPr>
          <a:xfrm>
            <a:off x="6486527" y="1752600"/>
            <a:ext cx="2219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0" i="1"/>
              <a:t>Credit</a:t>
            </a:r>
            <a:r>
              <a:rPr lang="en-US" sz="900" b="0" i="1" baseline="0"/>
              <a:t> card is most used payment method</a:t>
            </a:r>
            <a:endParaRPr lang="en-NG" sz="900" b="0" i="1"/>
          </a:p>
        </xdr:txBody>
      </xdr:sp>
    </xdr:grpSp>
    <xdr:clientData/>
  </xdr:twoCellAnchor>
  <xdr:twoCellAnchor>
    <xdr:from>
      <xdr:col>15</xdr:col>
      <xdr:colOff>273050</xdr:colOff>
      <xdr:row>12</xdr:row>
      <xdr:rowOff>0</xdr:rowOff>
    </xdr:from>
    <xdr:to>
      <xdr:col>20</xdr:col>
      <xdr:colOff>144859</xdr:colOff>
      <xdr:row>21</xdr:row>
      <xdr:rowOff>61472</xdr:rowOff>
    </xdr:to>
    <xdr:graphicFrame macro="">
      <xdr:nvGraphicFramePr>
        <xdr:cNvPr id="44" name="Chart 43">
          <a:extLst>
            <a:ext uri="{FF2B5EF4-FFF2-40B4-BE49-F238E27FC236}">
              <a16:creationId xmlns:a16="http://schemas.microsoft.com/office/drawing/2014/main" id="{5AF679CB-5C15-4255-BA67-11E42E30D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168275</xdr:colOff>
      <xdr:row>7</xdr:row>
      <xdr:rowOff>133349</xdr:rowOff>
    </xdr:from>
    <xdr:to>
      <xdr:col>19</xdr:col>
      <xdr:colOff>388670</xdr:colOff>
      <xdr:row>9</xdr:row>
      <xdr:rowOff>4987</xdr:rowOff>
    </xdr:to>
    <xdr:sp macro="" textlink="">
      <xdr:nvSpPr>
        <xdr:cNvPr id="46" name="TextBox 1">
          <a:extLst>
            <a:ext uri="{FF2B5EF4-FFF2-40B4-BE49-F238E27FC236}">
              <a16:creationId xmlns:a16="http://schemas.microsoft.com/office/drawing/2014/main" id="{EEDD9423-69B3-6B0A-4481-7762AB3BCCDE}"/>
            </a:ext>
          </a:extLst>
        </xdr:cNvPr>
        <xdr:cNvSpPr txBox="1"/>
      </xdr:nvSpPr>
      <xdr:spPr>
        <a:xfrm>
          <a:off x="9820275" y="1466849"/>
          <a:ext cx="2030145" cy="25263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400" b="1" kern="1200"/>
            <a:t>Revenue</a:t>
          </a:r>
          <a:r>
            <a:rPr lang="en-US" sz="1400" b="1" kern="1200" baseline="0"/>
            <a:t> by Region</a:t>
          </a:r>
          <a:endParaRPr lang="en-NG" sz="1400" b="1" kern="1200"/>
        </a:p>
      </xdr:txBody>
    </xdr:sp>
    <xdr:clientData/>
  </xdr:twoCellAnchor>
  <xdr:twoCellAnchor>
    <xdr:from>
      <xdr:col>15</xdr:col>
      <xdr:colOff>457201</xdr:colOff>
      <xdr:row>9</xdr:row>
      <xdr:rowOff>66675</xdr:rowOff>
    </xdr:from>
    <xdr:to>
      <xdr:col>20</xdr:col>
      <xdr:colOff>19050</xdr:colOff>
      <xdr:row>10</xdr:row>
      <xdr:rowOff>133350</xdr:rowOff>
    </xdr:to>
    <xdr:sp macro="" textlink="">
      <xdr:nvSpPr>
        <xdr:cNvPr id="51" name="TextBox 50">
          <a:extLst>
            <a:ext uri="{FF2B5EF4-FFF2-40B4-BE49-F238E27FC236}">
              <a16:creationId xmlns:a16="http://schemas.microsoft.com/office/drawing/2014/main" id="{D36872A8-A586-4171-9503-CD78452E062E}"/>
            </a:ext>
          </a:extLst>
        </xdr:cNvPr>
        <xdr:cNvSpPr txBox="1"/>
      </xdr:nvSpPr>
      <xdr:spPr>
        <a:xfrm>
          <a:off x="9601201" y="1781175"/>
          <a:ext cx="26098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0" i="1"/>
            <a:t>North</a:t>
          </a:r>
          <a:r>
            <a:rPr lang="en-US" sz="900" b="0" i="1" baseline="0"/>
            <a:t> region generate the highest revenue($15.6M)</a:t>
          </a:r>
          <a:endParaRPr lang="en-NG" sz="900" b="0" i="1"/>
        </a:p>
      </xdr:txBody>
    </xdr:sp>
    <xdr:clientData/>
  </xdr:twoCellAnchor>
  <xdr:twoCellAnchor>
    <xdr:from>
      <xdr:col>3</xdr:col>
      <xdr:colOff>419100</xdr:colOff>
      <xdr:row>25</xdr:row>
      <xdr:rowOff>85724</xdr:rowOff>
    </xdr:from>
    <xdr:to>
      <xdr:col>10</xdr:col>
      <xdr:colOff>0</xdr:colOff>
      <xdr:row>27</xdr:row>
      <xdr:rowOff>161925</xdr:rowOff>
    </xdr:to>
    <xdr:sp macro="" textlink="">
      <xdr:nvSpPr>
        <xdr:cNvPr id="53" name="TextBox 52">
          <a:extLst>
            <a:ext uri="{FF2B5EF4-FFF2-40B4-BE49-F238E27FC236}">
              <a16:creationId xmlns:a16="http://schemas.microsoft.com/office/drawing/2014/main" id="{C1F78884-628A-4BAF-54E1-20C333A6C3C8}"/>
            </a:ext>
          </a:extLst>
        </xdr:cNvPr>
        <xdr:cNvSpPr txBox="1"/>
      </xdr:nvSpPr>
      <xdr:spPr>
        <a:xfrm>
          <a:off x="2247900" y="4848224"/>
          <a:ext cx="384810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900" b="0" i="1">
              <a:solidFill>
                <a:schemeClr val="dk1"/>
              </a:solidFill>
              <a:effectLst/>
              <a:latin typeface="+mn-lt"/>
              <a:ea typeface="+mn-ea"/>
              <a:cs typeface="+mn-cs"/>
            </a:rPr>
            <a:t>Sales</a:t>
          </a:r>
          <a:r>
            <a:rPr lang="en-US" sz="900" b="0" i="1" baseline="0">
              <a:solidFill>
                <a:schemeClr val="dk1"/>
              </a:solidFill>
              <a:effectLst/>
              <a:latin typeface="+mn-lt"/>
              <a:ea typeface="+mn-ea"/>
              <a:cs typeface="+mn-cs"/>
            </a:rPr>
            <a:t> peaked in Jan,2023 dipped in Sep ($3.8M),and rebound in Dec,2023, before big drop in Jan,2024</a:t>
          </a:r>
          <a:endParaRPr lang="en-NG" sz="900" b="0" i="1">
            <a:effectLst/>
          </a:endParaRPr>
        </a:p>
        <a:p>
          <a:pPr algn="l"/>
          <a:endParaRPr lang="en-NG" sz="1100"/>
        </a:p>
      </xdr:txBody>
    </xdr:sp>
    <xdr:clientData/>
  </xdr:twoCellAnchor>
  <xdr:twoCellAnchor>
    <xdr:from>
      <xdr:col>10</xdr:col>
      <xdr:colOff>127000</xdr:colOff>
      <xdr:row>21</xdr:row>
      <xdr:rowOff>95250</xdr:rowOff>
    </xdr:from>
    <xdr:to>
      <xdr:col>14</xdr:col>
      <xdr:colOff>517525</xdr:colOff>
      <xdr:row>29</xdr:row>
      <xdr:rowOff>19049</xdr:rowOff>
    </xdr:to>
    <xdr:graphicFrame macro="">
      <xdr:nvGraphicFramePr>
        <xdr:cNvPr id="54" name="Chart 53">
          <a:extLst>
            <a:ext uri="{FF2B5EF4-FFF2-40B4-BE49-F238E27FC236}">
              <a16:creationId xmlns:a16="http://schemas.microsoft.com/office/drawing/2014/main" id="{7F879DB9-9B9D-47A3-AAA8-57E468ACE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104775</xdr:colOff>
      <xdr:row>19</xdr:row>
      <xdr:rowOff>9524</xdr:rowOff>
    </xdr:from>
    <xdr:to>
      <xdr:col>14</xdr:col>
      <xdr:colOff>457200</xdr:colOff>
      <xdr:row>20</xdr:row>
      <xdr:rowOff>104774</xdr:rowOff>
    </xdr:to>
    <xdr:sp macro="" textlink="">
      <xdr:nvSpPr>
        <xdr:cNvPr id="56" name="TextBox 55">
          <a:extLst>
            <a:ext uri="{FF2B5EF4-FFF2-40B4-BE49-F238E27FC236}">
              <a16:creationId xmlns:a16="http://schemas.microsoft.com/office/drawing/2014/main" id="{AA1F53A4-6FC6-4EF3-92A8-504373118F92}"/>
            </a:ext>
          </a:extLst>
        </xdr:cNvPr>
        <xdr:cNvSpPr txBox="1"/>
      </xdr:nvSpPr>
      <xdr:spPr>
        <a:xfrm>
          <a:off x="6200775" y="3629024"/>
          <a:ext cx="2790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dk1"/>
              </a:solidFill>
              <a:effectLst/>
              <a:latin typeface="+mn-lt"/>
              <a:ea typeface="+mn-ea"/>
              <a:cs typeface="+mn-cs"/>
            </a:rPr>
            <a:t>Quantity Sold by Customer</a:t>
          </a:r>
          <a:endParaRPr lang="en-NG" sz="1400">
            <a:effectLst/>
          </a:endParaRPr>
        </a:p>
        <a:p>
          <a:pPr algn="ctr"/>
          <a:endParaRPr lang="en-NG" sz="1100"/>
        </a:p>
      </xdr:txBody>
    </xdr:sp>
    <xdr:clientData/>
  </xdr:twoCellAnchor>
  <xdr:twoCellAnchor>
    <xdr:from>
      <xdr:col>10</xdr:col>
      <xdr:colOff>561976</xdr:colOff>
      <xdr:row>20</xdr:row>
      <xdr:rowOff>104775</xdr:rowOff>
    </xdr:from>
    <xdr:to>
      <xdr:col>14</xdr:col>
      <xdr:colOff>161926</xdr:colOff>
      <xdr:row>21</xdr:row>
      <xdr:rowOff>142875</xdr:rowOff>
    </xdr:to>
    <xdr:sp macro="" textlink="">
      <xdr:nvSpPr>
        <xdr:cNvPr id="58" name="TextBox 57">
          <a:extLst>
            <a:ext uri="{FF2B5EF4-FFF2-40B4-BE49-F238E27FC236}">
              <a16:creationId xmlns:a16="http://schemas.microsoft.com/office/drawing/2014/main" id="{8A76FC7A-3311-43CC-8ABA-8905B283A1AA}"/>
            </a:ext>
          </a:extLst>
        </xdr:cNvPr>
        <xdr:cNvSpPr txBox="1"/>
      </xdr:nvSpPr>
      <xdr:spPr>
        <a:xfrm>
          <a:off x="6657976" y="3914775"/>
          <a:ext cx="2038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i="1"/>
            <a:t>New Customers purchase more goods</a:t>
          </a:r>
          <a:r>
            <a:rPr lang="en-US" sz="900" i="1" baseline="0"/>
            <a:t> </a:t>
          </a:r>
          <a:endParaRPr lang="en-NG" sz="900" i="1"/>
        </a:p>
      </xdr:txBody>
    </xdr:sp>
    <xdr:clientData/>
  </xdr:twoCellAnchor>
  <xdr:twoCellAnchor>
    <xdr:from>
      <xdr:col>15</xdr:col>
      <xdr:colOff>254000</xdr:colOff>
      <xdr:row>28</xdr:row>
      <xdr:rowOff>9525</xdr:rowOff>
    </xdr:from>
    <xdr:to>
      <xdr:col>20</xdr:col>
      <xdr:colOff>50801</xdr:colOff>
      <xdr:row>38</xdr:row>
      <xdr:rowOff>185962</xdr:rowOff>
    </xdr:to>
    <xdr:graphicFrame macro="">
      <xdr:nvGraphicFramePr>
        <xdr:cNvPr id="59" name="Chart 58">
          <a:extLst>
            <a:ext uri="{FF2B5EF4-FFF2-40B4-BE49-F238E27FC236}">
              <a16:creationId xmlns:a16="http://schemas.microsoft.com/office/drawing/2014/main" id="{05ADA4B6-6E4C-4559-8596-1D3914BCA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276225</xdr:colOff>
      <xdr:row>23</xdr:row>
      <xdr:rowOff>142875</xdr:rowOff>
    </xdr:from>
    <xdr:to>
      <xdr:col>20</xdr:col>
      <xdr:colOff>65430</xdr:colOff>
      <xdr:row>25</xdr:row>
      <xdr:rowOff>173662</xdr:rowOff>
    </xdr:to>
    <xdr:sp macro="" textlink="">
      <xdr:nvSpPr>
        <xdr:cNvPr id="60" name="TextBox 1">
          <a:extLst>
            <a:ext uri="{FF2B5EF4-FFF2-40B4-BE49-F238E27FC236}">
              <a16:creationId xmlns:a16="http://schemas.microsoft.com/office/drawing/2014/main" id="{34B999AF-26C2-EC0B-A1B1-A28A14244D32}"/>
            </a:ext>
          </a:extLst>
        </xdr:cNvPr>
        <xdr:cNvSpPr txBox="1"/>
      </xdr:nvSpPr>
      <xdr:spPr>
        <a:xfrm>
          <a:off x="9324975" y="4524375"/>
          <a:ext cx="2805455" cy="411787"/>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r>
            <a:rPr lang="en-US" sz="1400" b="1" i="0" baseline="0">
              <a:effectLst/>
              <a:latin typeface="+mn-lt"/>
              <a:ea typeface="+mn-ea"/>
              <a:cs typeface="+mn-cs"/>
            </a:rPr>
            <a:t>Sales Revenue by Representataive </a:t>
          </a:r>
          <a:endParaRPr lang="en-NG" sz="1400">
            <a:effectLst/>
          </a:endParaRPr>
        </a:p>
      </xdr:txBody>
    </xdr:sp>
    <xdr:clientData/>
  </xdr:twoCellAnchor>
  <xdr:twoCellAnchor>
    <xdr:from>
      <xdr:col>10</xdr:col>
      <xdr:colOff>111125</xdr:colOff>
      <xdr:row>31</xdr:row>
      <xdr:rowOff>28575</xdr:rowOff>
    </xdr:from>
    <xdr:to>
      <xdr:col>14</xdr:col>
      <xdr:colOff>596900</xdr:colOff>
      <xdr:row>39</xdr:row>
      <xdr:rowOff>47624</xdr:rowOff>
    </xdr:to>
    <xdr:graphicFrame macro="">
      <xdr:nvGraphicFramePr>
        <xdr:cNvPr id="62" name="Chart 61">
          <a:extLst>
            <a:ext uri="{FF2B5EF4-FFF2-40B4-BE49-F238E27FC236}">
              <a16:creationId xmlns:a16="http://schemas.microsoft.com/office/drawing/2014/main" id="{D3B19F70-D811-43D3-90D6-4D4F468C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180974</xdr:colOff>
      <xdr:row>29</xdr:row>
      <xdr:rowOff>95249</xdr:rowOff>
    </xdr:from>
    <xdr:to>
      <xdr:col>14</xdr:col>
      <xdr:colOff>476249</xdr:colOff>
      <xdr:row>30</xdr:row>
      <xdr:rowOff>147499</xdr:rowOff>
    </xdr:to>
    <xdr:sp macro="" textlink="">
      <xdr:nvSpPr>
        <xdr:cNvPr id="63" name="TextBox 1">
          <a:extLst>
            <a:ext uri="{FF2B5EF4-FFF2-40B4-BE49-F238E27FC236}">
              <a16:creationId xmlns:a16="http://schemas.microsoft.com/office/drawing/2014/main" id="{A7229958-0D34-2CB7-8D44-5791103580EE}"/>
            </a:ext>
          </a:extLst>
        </xdr:cNvPr>
        <xdr:cNvSpPr txBox="1"/>
      </xdr:nvSpPr>
      <xdr:spPr>
        <a:xfrm>
          <a:off x="6276974" y="5619749"/>
          <a:ext cx="2733675" cy="24275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400" b="1" kern="1200"/>
            <a:t>Revenue Share by</a:t>
          </a:r>
          <a:r>
            <a:rPr lang="en-US" sz="1400" b="1" kern="1200" baseline="0"/>
            <a:t> Sales Channel</a:t>
          </a:r>
          <a:endParaRPr lang="en-NG" sz="1400" b="1" kern="1200"/>
        </a:p>
      </xdr:txBody>
    </xdr:sp>
    <xdr:clientData/>
  </xdr:twoCellAnchor>
  <xdr:twoCellAnchor>
    <xdr:from>
      <xdr:col>15</xdr:col>
      <xdr:colOff>374650</xdr:colOff>
      <xdr:row>25</xdr:row>
      <xdr:rowOff>85726</xdr:rowOff>
    </xdr:from>
    <xdr:to>
      <xdr:col>20</xdr:col>
      <xdr:colOff>209550</xdr:colOff>
      <xdr:row>27</xdr:row>
      <xdr:rowOff>123826</xdr:rowOff>
    </xdr:to>
    <xdr:sp macro="" textlink="">
      <xdr:nvSpPr>
        <xdr:cNvPr id="64" name="TextBox 63">
          <a:extLst>
            <a:ext uri="{FF2B5EF4-FFF2-40B4-BE49-F238E27FC236}">
              <a16:creationId xmlns:a16="http://schemas.microsoft.com/office/drawing/2014/main" id="{53110E24-86B3-4697-AAA1-29F3CD96A6F2}"/>
            </a:ext>
          </a:extLst>
        </xdr:cNvPr>
        <xdr:cNvSpPr txBox="1"/>
      </xdr:nvSpPr>
      <xdr:spPr>
        <a:xfrm>
          <a:off x="9423400" y="4848226"/>
          <a:ext cx="28511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i="1"/>
            <a:t>David</a:t>
          </a:r>
          <a:r>
            <a:rPr lang="en-US" sz="900" b="0" i="1" baseline="0"/>
            <a:t> generated the highest sales Revenue among all represntative </a:t>
          </a:r>
          <a:endParaRPr lang="en-NG" sz="900" b="0" i="1"/>
        </a:p>
      </xdr:txBody>
    </xdr:sp>
    <xdr:clientData/>
  </xdr:twoCellAnchor>
  <xdr:twoCellAnchor>
    <xdr:from>
      <xdr:col>10</xdr:col>
      <xdr:colOff>104776</xdr:colOff>
      <xdr:row>30</xdr:row>
      <xdr:rowOff>104774</xdr:rowOff>
    </xdr:from>
    <xdr:to>
      <xdr:col>14</xdr:col>
      <xdr:colOff>514350</xdr:colOff>
      <xdr:row>32</xdr:row>
      <xdr:rowOff>95250</xdr:rowOff>
    </xdr:to>
    <xdr:sp macro="" textlink="">
      <xdr:nvSpPr>
        <xdr:cNvPr id="65" name="TextBox 64">
          <a:extLst>
            <a:ext uri="{FF2B5EF4-FFF2-40B4-BE49-F238E27FC236}">
              <a16:creationId xmlns:a16="http://schemas.microsoft.com/office/drawing/2014/main" id="{18F59237-F6FF-4CCB-B94F-A8B9A82AEFB9}"/>
            </a:ext>
          </a:extLst>
        </xdr:cNvPr>
        <xdr:cNvSpPr txBox="1"/>
      </xdr:nvSpPr>
      <xdr:spPr>
        <a:xfrm>
          <a:off x="6200776" y="5819774"/>
          <a:ext cx="2847974"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0" i="1"/>
            <a:t>Online</a:t>
          </a:r>
          <a:r>
            <a:rPr lang="en-US" sz="900" b="0" i="1" baseline="0"/>
            <a:t> channel contributed the lagest revenue share, slightly ahead of  Retail </a:t>
          </a:r>
          <a:endParaRPr lang="en-NG" sz="900" b="0" i="1"/>
        </a:p>
      </xdr:txBody>
    </xdr:sp>
    <xdr:clientData/>
  </xdr:twoCellAnchor>
</xdr:wsDr>
</file>

<file path=xl/drawings/drawing2.xml><?xml version="1.0" encoding="utf-8"?>
<c:userShapes xmlns:c="http://schemas.openxmlformats.org/drawingml/2006/chart">
  <cdr:relSizeAnchor xmlns:cdr="http://schemas.openxmlformats.org/drawingml/2006/chartDrawing">
    <cdr:from>
      <cdr:x>0.216</cdr:x>
      <cdr:y>0</cdr:y>
    </cdr:from>
    <cdr:to>
      <cdr:x>0.708</cdr:x>
      <cdr:y>0.10191</cdr:y>
    </cdr:to>
    <cdr:sp macro="" textlink="">
      <cdr:nvSpPr>
        <cdr:cNvPr id="2" name="TextBox 1">
          <a:extLst xmlns:a="http://schemas.openxmlformats.org/drawingml/2006/main">
            <a:ext uri="{FF2B5EF4-FFF2-40B4-BE49-F238E27FC236}">
              <a16:creationId xmlns:a16="http://schemas.microsoft.com/office/drawing/2014/main" id="{7CFC62AA-868A-4627-DF8F-AC942970220B}"/>
            </a:ext>
          </a:extLst>
        </cdr:cNvPr>
        <cdr:cNvSpPr txBox="1"/>
      </cdr:nvSpPr>
      <cdr:spPr>
        <a:xfrm xmlns:a="http://schemas.openxmlformats.org/drawingml/2006/main">
          <a:off x="642936" y="0"/>
          <a:ext cx="1464469"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hew adewunmi" refreshedDate="45912.978830902779" createdVersion="8" refreshedVersion="8" minRefreshableVersion="3" recordCount="1000" xr:uid="{9B6497DC-E511-4C68-8772-C45F23BD6138}">
  <cacheSource type="worksheet">
    <worksheetSource ref="A1:K1001" sheet="Cleaned Working sales data"/>
  </cacheSource>
  <cacheFields count="11">
    <cacheField name="Month" numFmtId="14">
      <sharedItems count="13">
        <s v="Jan 2023"/>
        <s v="Jul 2023"/>
        <s v="Oct 2023"/>
        <s v="Nov 2023"/>
        <s v="Mar 2023"/>
        <s v="May 2023"/>
        <s v="Apr 2023"/>
        <s v="Dec 2023"/>
        <s v="Aug 2023"/>
        <s v="Feb 2023"/>
        <s v="Sep 2023"/>
        <s v="Jun 2023"/>
        <s v="Jan 2024"/>
      </sharedItems>
    </cacheField>
    <cacheField name="Sales Rep" numFmtId="0">
      <sharedItems count="5">
        <s v="Eve"/>
        <s v="Alice"/>
        <s v="Charlie"/>
        <s v="Bob"/>
        <s v="David"/>
      </sharedItems>
    </cacheField>
    <cacheField name="Region" numFmtId="0">
      <sharedItems count="4">
        <s v="South"/>
        <s v="East"/>
        <s v="North"/>
        <s v="West"/>
      </sharedItems>
    </cacheField>
    <cacheField name="Sales Amount" numFmtId="164">
      <sharedItems containsSemiMixedTypes="0" containsString="0" containsNumber="1" minValue="154.16140000000001" maxValue="249625.88639999999" count="1000">
        <n v="160489.03200000001"/>
        <n v="44654.896000000001"/>
        <n v="8776.4291999999987"/>
        <n v="52062.098999999995"/>
        <n v="46757.592000000004"/>
        <n v="27709.77"/>
        <n v="151423.35999999999"/>
        <n v="183223.38399999996"/>
        <n v="107798.97600000001"/>
        <n v="37172.065700000006"/>
        <n v="129571.47"/>
        <n v="40035.547199999994"/>
        <n v="30856.665599999997"/>
        <n v="94494.151999999987"/>
        <n v="10680.7012"/>
        <n v="41145.589999999997"/>
        <n v="1353.8596"/>
        <n v="287.32990000000001"/>
        <n v="28872.077499999999"/>
        <n v="26266.169999999813"/>
        <n v="34848.808799999999"/>
        <n v="7767.27"/>
        <n v="28242.609999999997"/>
        <n v="184073.73749999999"/>
        <n v="69494.436000000016"/>
        <n v="31409.279999999999"/>
        <n v="66338.940799999997"/>
        <n v="630.77820000000008"/>
        <n v="27866.312099999996"/>
        <n v="1470.3506"/>
        <n v="18939.224999999999"/>
        <n v="162512.91"/>
        <n v="24893.9244"/>
        <n v="24587.366399999955"/>
        <n v="25058.0969"/>
        <n v="29021.94899999983"/>
        <n v="4653.6966000000002"/>
        <n v="111129.76610000001"/>
        <n v="61999.68"/>
        <n v="146310.54079999999"/>
        <n v="1856.67"/>
        <n v="118026.37439999999"/>
        <n v="30606.211999999996"/>
        <n v="55828.899000000005"/>
        <n v="131042.07"/>
        <n v="11346.123600000001"/>
        <n v="1887.4856000000002"/>
        <n v="5636.2592000000004"/>
        <n v="9684.9"/>
        <n v="135696.62699999954"/>
        <n v="13279.7574"/>
        <n v="70250.22"/>
        <n v="71421.189999999813"/>
        <n v="39146.078399999999"/>
        <n v="115389.533"/>
        <n v="10891.272000000001"/>
        <n v="30255.302"/>
        <n v="8597.1455999999998"/>
        <n v="2448.8585999999996"/>
        <n v="58984.056000000004"/>
        <n v="50955.062400000003"/>
        <n v="212818.64670000001"/>
        <n v="2522.3251999999998"/>
        <n v="13479.36"/>
        <n v="141316.86239999998"/>
        <n v="2774.9744000000001"/>
        <n v="81249.818999999989"/>
        <n v="124352.54520000001"/>
        <n v="27949.188800000004"/>
        <n v="80626.241500000004"/>
        <n v="36912.603000000003"/>
        <n v="85375.987200000003"/>
        <n v="11303.391599999999"/>
        <n v="2908.5723000000003"/>
        <n v="2924.0819999999999"/>
        <n v="13377.2688"/>
        <n v="122657.47200000001"/>
        <n v="3299.1035000000002"/>
        <n v="5709.0579000000007"/>
        <n v="16637.615999999998"/>
        <n v="121680.573"/>
        <n v="23957.452799999999"/>
        <n v="4136.7743999999648"/>
        <n v="115926.03"/>
        <n v="90993.742399999988"/>
        <n v="198621.34199999998"/>
        <n v="114452.35200000001"/>
        <n v="42208.119799999993"/>
        <n v="3318.7446"/>
        <n v="3390.3296"/>
        <n v="3414.6"/>
        <n v="122608.58400000002"/>
        <n v="27432.48"/>
        <n v="51687"/>
        <n v="143719.68599999999"/>
        <n v="38136.815200000005"/>
        <n v="130156.67279999971"/>
        <n v="27576.063900000001"/>
        <n v="44188.316200000001"/>
        <n v="76737.108799999987"/>
        <n v="4377.0636000000013"/>
        <n v="27972.572800000002"/>
        <n v="3584.2014000000008"/>
        <n v="10045.2312"/>
        <n v="3974.8401000000003"/>
        <n v="4178.0705999999991"/>
        <n v="98864.960999999996"/>
        <n v="30970.731499999994"/>
        <n v="55763.568000000007"/>
        <n v="116996.56499999999"/>
        <n v="4656.7975999999999"/>
        <n v="23371.126800000002"/>
        <n v="52730.8992"/>
        <n v="3243.5745000000002"/>
        <n v="11309.953200000002"/>
        <n v="59445.117600000005"/>
        <n v="4795.837199999999"/>
        <n v="72386.717399999994"/>
        <n v="42305.281199999998"/>
        <n v="4936.902"/>
        <n v="91289.008599999986"/>
        <n v="159246.77709999998"/>
        <n v="2566.9632000000001"/>
        <n v="6078.1343999999999"/>
        <n v="118952.7248"/>
        <n v="60720.81749999999"/>
        <n v="3342.0545999999995"/>
        <n v="39230.207999999955"/>
        <n v="6857.8828999999996"/>
        <n v="157949.0766"/>
        <n v="7003.5545999999995"/>
        <n v="22578.4804"/>
        <n v="7912.3235999999997"/>
        <n v="14949.376000000002"/>
        <n v="88743.632400000002"/>
        <n v="9133.2601999999988"/>
        <n v="18168.57"/>
        <n v="8314.7084999999242"/>
        <n v="8570.908799999972"/>
        <n v="149128.98000000001"/>
        <n v="18462.366999999998"/>
        <n v="138559.13279999999"/>
        <n v="111627.3575"/>
        <n v="8910"/>
        <n v="105274.7586"/>
        <n v="17735.481499999998"/>
        <n v="49385.142400000004"/>
        <n v="1664.2784000000001"/>
        <n v="96850.774799999781"/>
        <n v="8913.6"/>
        <n v="74057.025299999994"/>
        <n v="44427.255599999997"/>
        <n v="17641.251"/>
        <n v="10897.163199999999"/>
        <n v="50036.9352"/>
        <n v="9249.1440000000002"/>
        <n v="11482.085999999999"/>
        <n v="46930.828399999999"/>
        <n v="33758.224999999999"/>
        <n v="50130.225000000006"/>
        <n v="52391.425999999999"/>
        <n v="124218.98999999999"/>
        <n v="34201.86"/>
        <n v="79269.3"/>
        <n v="185852.91150000002"/>
        <n v="133757.48800000001"/>
        <n v="113884.18560000001"/>
        <n v="53833.625999999625"/>
        <n v="1688.6529"/>
        <n v="159042.2096"/>
        <n v="50476.568999999996"/>
        <n v="7299.7455999999665"/>
        <n v="134126.95879999999"/>
        <n v="4611.5999999999995"/>
        <n v="11919.927600000001"/>
        <n v="8284.8115999999991"/>
        <n v="38921.894999999997"/>
        <n v="12200.673599999966"/>
        <n v="2110.328"/>
        <n v="89170.636400000003"/>
        <n v="87321.013200000001"/>
        <n v="28482.557999999997"/>
        <n v="87138.47159999999"/>
        <n v="12373.435799999905"/>
        <n v="21576.034800000001"/>
        <n v="136809.55519999997"/>
        <n v="9243.9935999999998"/>
        <n v="12830.2482"/>
        <n v="13072.331999999999"/>
        <n v="6154.02"/>
        <n v="128974.98239999999"/>
        <n v="56227.415999999801"/>
        <n v="56689.5645"/>
        <n v="116774.48640000001"/>
        <n v="13093.105199999984"/>
        <n v="8548.2054000000007"/>
        <n v="102762.21200000001"/>
        <n v="27710.166400000006"/>
        <n v="26790.7372"/>
        <n v="3541.6639999999952"/>
        <n v="104363.65799999973"/>
        <n v="172918.59299999996"/>
        <n v="13239.807999999999"/>
        <n v="13429.628699999999"/>
        <n v="13643.809199999998"/>
        <n v="24650.750999999997"/>
        <n v="100208.74499999969"/>
        <n v="83486.697199999995"/>
        <n v="9657.730599999999"/>
        <n v="125109.50399999955"/>
        <n v="138044.02500000002"/>
        <n v="14863.027199999999"/>
        <n v="103983.1572"/>
        <n v="74214.456799999738"/>
        <n v="54023.526999999995"/>
        <n v="15751.731000000002"/>
        <n v="164684.08439999999"/>
        <n v="50044.176000000007"/>
        <n v="52321.457999999686"/>
        <n v="63168.1512"/>
        <n v="16652.480000000003"/>
        <n v="14038.596800000003"/>
        <n v="30160.072800000002"/>
        <n v="16963.631999999998"/>
        <n v="56917.616000000002"/>
        <n v="55105.319999999992"/>
        <n v="43803.93"/>
        <n v="85227.520000000004"/>
        <n v="55023.040800000002"/>
        <n v="75371.743999999992"/>
        <n v="99764.313599999994"/>
        <n v="17266.290999999997"/>
        <n v="17567.659200000002"/>
        <n v="141763.02799999999"/>
        <n v="9193.3740000000016"/>
        <n v="17819.687999999998"/>
        <n v="18118.672000000002"/>
        <n v="1415.5835999999999"/>
        <n v="90549.186000000002"/>
        <n v="85677.002999999997"/>
        <n v="88559.987999999998"/>
        <n v="18191.956000000002"/>
        <n v="57545.831999999995"/>
        <n v="83968.11540000001"/>
        <n v="60155.28119999999"/>
        <n v="98096.796000000002"/>
        <n v="98099.987999999998"/>
        <n v="18203.885700000003"/>
        <n v="58239.827799999999"/>
        <n v="18257.84"/>
        <n v="18627.723999999853"/>
        <n v="26149.41"/>
        <n v="16557.279200000001"/>
        <n v="61721.351999999635"/>
        <n v="72021.272400000002"/>
        <n v="63688.8272"/>
        <n v="65444.804600000003"/>
        <n v="32760.705600000005"/>
        <n v="33276.553199999995"/>
        <n v="22126.867200000001"/>
        <n v="36193.975200000001"/>
        <n v="82353.314999999988"/>
        <n v="90844.608800000002"/>
        <n v="95065.74"/>
        <n v="19234.162499999999"/>
        <n v="18952.103800000001"/>
        <n v="10524.24"/>
        <n v="95664.626099999994"/>
        <n v="53235.212800000001"/>
        <n v="27560.800000000003"/>
        <n v="70402.77"/>
        <n v="101156.7375"/>
        <n v="85931.015999999989"/>
        <n v="19555.599999999999"/>
        <n v="19769.294999999998"/>
        <n v="22802.395500000002"/>
        <n v="20388.576000000001"/>
        <n v="57608.746800000001"/>
        <n v="34177.68"/>
        <n v="17546.554200000002"/>
        <n v="125892.7758"/>
        <n v="92333.933999999994"/>
        <n v="9681.1260000000002"/>
        <n v="44723.632799999999"/>
        <n v="20406.055"/>
        <n v="8057.6067999999987"/>
        <n v="20452.2624"/>
        <n v="117234.50240000001"/>
        <n v="2948.0832"/>
        <n v="109570.5"/>
        <n v="143298.94999999998"/>
        <n v="41132.887199999997"/>
        <n v="31329.503999999997"/>
        <n v="17049.649999999998"/>
        <n v="93141.440000000002"/>
        <n v="114170.8392"/>
        <n v="14153.715"/>
        <n v="26336.526999999998"/>
        <n v="14946.119999999999"/>
        <n v="24668.9074"/>
        <n v="20630.937599999997"/>
        <n v="22021.962799999998"/>
        <n v="72242.648000000001"/>
        <n v="41165.058000000005"/>
        <n v="28172.342499999817"/>
        <n v="146877.09479999999"/>
        <n v="20898.556"/>
        <n v="39733.828000000001"/>
        <n v="8062.6292999999996"/>
        <n v="14923.284"/>
        <n v="3596.4864000000002"/>
        <n v="1033.1324999999999"/>
        <n v="99919.903999999995"/>
        <n v="37582.898599999906"/>
        <n v="69741.907200000001"/>
        <n v="21038.604999999996"/>
        <n v="59529.556800000006"/>
        <n v="13089.120000000003"/>
        <n v="22228.003199999999"/>
        <n v="43422.960999999865"/>
        <n v="465.46960000000001"/>
        <n v="22339.6335"/>
        <n v="22654.526399999922"/>
        <n v="19146.160799999998"/>
        <n v="93770.338999999993"/>
        <n v="43509.5478"/>
        <n v="17061.9764"/>
        <n v="22602.081700000002"/>
        <n v="100495.12799999998"/>
        <n v="16684.999099999997"/>
        <n v="23244.546499999997"/>
        <n v="7139.3199999999988"/>
        <n v="117932.64599999976"/>
        <n v="76821.487500000003"/>
        <n v="15455.705999999998"/>
        <n v="23348.332800000004"/>
        <n v="23899.553999999996"/>
        <n v="2753.7325000000001"/>
        <n v="33928.627199999995"/>
        <n v="101458.87079999999"/>
        <n v="18087.367200000001"/>
        <n v="176871.82500000001"/>
        <n v="75942.503000000012"/>
        <n v="121121.8125"/>
        <n v="34391.689099999996"/>
        <n v="154636.04520000002"/>
        <n v="43486.208000000006"/>
        <n v="24638.055"/>
        <n v="47100.804299999814"/>
        <n v="69311.642399999997"/>
        <n v="107888.27"/>
        <n v="24257.527699999999"/>
        <n v="13535.923200000001"/>
        <n v="154043.06240000002"/>
        <n v="23067.911999999775"/>
        <n v="24820.670399999999"/>
        <n v="145114.33299999963"/>
        <n v="119952.92800000001"/>
        <n v="25062.36"/>
        <n v="34231.428"/>
        <n v="25472.1384"/>
        <n v="10787.6594"/>
        <n v="64991.609399999637"/>
        <n v="21908.524799999999"/>
        <n v="42890.702399999995"/>
        <n v="37887.704399999995"/>
        <n v="40512.956000000006"/>
        <n v="143601.33599999998"/>
        <n v="25962.331999999999"/>
        <n v="59393.62"/>
        <n v="57598.6944"/>
        <n v="1412.7244000000001"/>
        <n v="57305.523999999998"/>
        <n v="40282.18499999999"/>
        <n v="132442.91999999998"/>
        <n v="26666.851199999997"/>
        <n v="42001.4"/>
        <n v="26956.394399999997"/>
        <n v="27046.656000000003"/>
        <n v="5273.3872000000001"/>
        <n v="12754.055999999973"/>
        <n v="82639.806500000006"/>
        <n v="137225.55599999969"/>
        <n v="160630.3872"/>
        <n v="28380.104800000001"/>
        <n v="57909.286800000002"/>
        <n v="29180.03199999989"/>
        <n v="60186.772799999999"/>
        <n v="107152.8276"/>
        <n v="2839.1383999999998"/>
        <n v="20098.548000000003"/>
        <n v="18992.232"/>
        <n v="60398.46"/>
        <n v="17320.087199999998"/>
        <n v="121602.6504"/>
        <n v="101804.73599999979"/>
        <n v="29695.319999999821"/>
        <n v="5604.9760000000006"/>
        <n v="12695.142"/>
        <n v="41716.189900000005"/>
        <n v="26596.128000000001"/>
        <n v="115328.3894"/>
        <n v="94284.518400000001"/>
        <n v="29807.448"/>
        <n v="31123.083200000001"/>
        <n v="22424.85"/>
        <n v="51266.529599999994"/>
        <n v="80535.546000000002"/>
        <n v="31220.324999999713"/>
        <n v="31579.319"/>
        <n v="102939.71999999962"/>
        <n v="100552.38900000001"/>
        <n v="5299.9856"/>
        <n v="24834.11"/>
        <n v="12343.365"/>
        <n v="165828.67120000001"/>
        <n v="28846.800000000003"/>
        <n v="3560.3048999999783"/>
        <n v="152108.51579999999"/>
        <n v="32314.5612"/>
        <n v="49918.12"/>
        <n v="226873.92"/>
        <n v="11985.599999999999"/>
        <n v="35924.943599999999"/>
        <n v="168450.90640000001"/>
        <n v="131718.52799999999"/>
        <n v="32490.33"/>
        <n v="25668.981"/>
        <n v="141672.87680000003"/>
        <n v="199824.1919999996"/>
        <n v="3472.56"/>
        <n v="32504.806700000001"/>
        <n v="26275.995199999928"/>
        <n v="24190.32"/>
        <n v="111441.60299999974"/>
        <n v="15253.4432"/>
        <n v="104694.1425"/>
        <n v="33036.299999999996"/>
        <n v="18521.7788"/>
        <n v="41617.170000000006"/>
        <n v="35853.739199999996"/>
        <n v="6120.3963999999814"/>
        <n v="85045.611000000004"/>
        <n v="76075.893599999996"/>
        <n v="13218.084000000001"/>
        <n v="23796.929999999997"/>
        <n v="70436.907200000001"/>
        <n v="82146.674999999988"/>
        <n v="103997.26"/>
        <n v="17529.51999999992"/>
        <n v="3483.1776"/>
        <n v="33074.438399999999"/>
        <n v="50275.718399999998"/>
        <n v="6125.8207999999995"/>
        <n v="49914.246399999996"/>
        <n v="93966.518399999986"/>
        <n v="33241.445599999999"/>
        <n v="8466.0360000000001"/>
        <n v="8508.2544000000016"/>
        <n v="53478.776400000002"/>
        <n v="51132.485000000001"/>
        <n v="6742.0496000000003"/>
        <n v="26573.724800000004"/>
        <n v="10529.0622"/>
        <n v="7273.2479999999996"/>
        <n v="11140.365"/>
        <n v="96138.1872"/>
        <n v="40161.557699999998"/>
        <n v="6136.0499999999993"/>
        <n v="33848.736299999779"/>
        <n v="40685.299200000001"/>
        <n v="15847.981199999998"/>
        <n v="33895.4928"/>
        <n v="30051.278399999999"/>
        <n v="35014.983999999997"/>
        <n v="7515.8388000000004"/>
        <n v="29047.099199999895"/>
        <n v="128070.71999999999"/>
        <n v="49293.164700000001"/>
        <n v="15106.211999999965"/>
        <n v="8213.3760000000002"/>
        <n v="103213.1808"/>
        <n v="35310.015999999996"/>
        <n v="85980.302000000011"/>
        <n v="36669.441599999998"/>
        <n v="14433.218800000002"/>
        <n v="58986.613400000002"/>
        <n v="43272.19"/>
        <n v="53512.771200000003"/>
        <n v="162410.87520000001"/>
        <n v="164106.43199999997"/>
        <n v="156331.56240000002"/>
        <n v="37491.926399999684"/>
        <n v="32247.924800000004"/>
        <n v="28527.618899999921"/>
        <n v="27829.49"/>
        <n v="29791.313999999998"/>
        <n v="204698.43839999998"/>
        <n v="19933.267199999998"/>
        <n v="38565.2592"/>
        <n v="39262.273500000003"/>
        <n v="147970.90769999998"/>
        <n v="122476.76280000001"/>
        <n v="40033.2405"/>
        <n v="21608.664000000001"/>
        <n v="121252.80960000001"/>
        <n v="41289.983999999997"/>
        <n v="28104.068000000003"/>
        <n v="137940.057"/>
        <n v="40076.035199999998"/>
        <n v="40681.840499999998"/>
        <n v="57142.784"/>
        <n v="28163.780999999999"/>
        <n v="41180.333999999995"/>
        <n v="30650.099000000002"/>
        <n v="10253.869199999999"/>
        <n v="165470.9025"/>
        <n v="19761.4725"/>
        <n v="84291.980499999685"/>
        <n v="16567.761600000002"/>
        <n v="152793.2405999997"/>
        <n v="29357.203200000004"/>
        <n v="41484.989500000003"/>
        <n v="43574.536000000007"/>
        <n v="18353.706599999998"/>
        <n v="44645.180999999699"/>
        <n v="34065.99839999988"/>
        <n v="4874.2276000000002"/>
        <n v="169764.33539999998"/>
        <n v="84697.267200000002"/>
        <n v="44842.2912"/>
        <n v="23901.905999999995"/>
        <n v="36595.641599999995"/>
        <n v="52115.580399999999"/>
        <n v="33128.064000000006"/>
        <n v="75720.233600000007"/>
        <n v="34790.432000000001"/>
        <n v="1700.6220000000001"/>
        <n v="64959.585600000006"/>
        <n v="30123.223899999997"/>
        <n v="50017.953600000001"/>
        <n v="73780.601399999781"/>
        <n v="95299.156799999997"/>
        <n v="45121.633199999997"/>
        <n v="59155.910799999998"/>
        <n v="8965.6919999999991"/>
        <n v="33759.123999999996"/>
        <n v="45783.324999999997"/>
        <n v="93601.7016"/>
        <n v="57767.455199999866"/>
        <n v="58835.69279999999"/>
        <n v="94600.407999999996"/>
        <n v="83383.3"/>
        <n v="40679.179199999999"/>
        <n v="45941.441999999995"/>
        <n v="207439.67979999998"/>
        <n v="56761.065499999851"/>
        <n v="78490.421199999997"/>
        <n v="126972.38399999999"/>
        <n v="3721.69"/>
        <n v="14080.364799999999"/>
        <n v="78022.297600000005"/>
        <n v="3352.8627000000006"/>
        <n v="46046.552999999993"/>
        <n v="46820.087599999999"/>
        <n v="4036.7539999999995"/>
        <n v="6154.8220000000001"/>
        <n v="46838.207999999999"/>
        <n v="170757.405"/>
        <n v="44997.126400000008"/>
        <n v="42785.735999999997"/>
        <n v="129123.03600000001"/>
        <n v="53778.6944"/>
        <n v="40031.667199999996"/>
        <n v="47652.696000000004"/>
        <n v="72745.789199999999"/>
        <n v="50147.341199999995"/>
        <n v="26966.652899999997"/>
        <n v="5370.0555999999997"/>
        <n v="45190.628199999999"/>
        <n v="19156.371000000003"/>
        <n v="75264.844199999992"/>
        <n v="55653.815699999992"/>
        <n v="97012.3128"/>
        <n v="151007.61599999998"/>
        <n v="48895.633600000001"/>
        <n v="118177.40400000001"/>
        <n v="49903.394399999997"/>
        <n v="45613.26"/>
        <n v="65081.528399999879"/>
        <n v="50758.312499999811"/>
        <n v="53373.312000000005"/>
        <n v="194638.9797"/>
        <n v="52839.670400000003"/>
        <n v="33671.591999999997"/>
        <n v="52978.538199999879"/>
        <n v="19284.48"/>
        <n v="24026.657399999996"/>
        <n v="53186.920399999995"/>
        <n v="1820.1899999999998"/>
        <n v="53279.87"/>
        <n v="6009.5252"/>
        <n v="90890.926199999813"/>
        <n v="101197.95"/>
        <n v="28488.894"/>
        <n v="62620.576199999996"/>
        <n v="36950.667000000001"/>
        <n v="6586.6944000000003"/>
        <n v="3927.8231999999948"/>
        <n v="191801.24720000004"/>
        <n v="61469.668799999999"/>
        <n v="49056.153600000005"/>
        <n v="53459.549999999996"/>
        <n v="15049.762000000001"/>
        <n v="54214.042800000003"/>
        <n v="49322.716800000002"/>
        <n v="16641.68"/>
        <n v="7995.1392000000005"/>
        <n v="93620.334600000002"/>
        <n v="55557.835200000001"/>
        <n v="99752.688000000009"/>
        <n v="10030.165199999999"/>
        <n v="200811.5208"/>
        <n v="54948.144999999997"/>
        <n v="27488.348999999998"/>
        <n v="55321.316399999996"/>
        <n v="53365.569599999799"/>
        <n v="20812.707999999999"/>
        <n v="118725.49259999998"/>
        <n v="4911.3735999999999"/>
        <n v="17984.032799999997"/>
        <n v="56005.536599999999"/>
        <n v="56588.601999999999"/>
        <n v="57609.26"/>
        <n v="10201.9944"/>
        <n v="179487"/>
        <n v="57706.095100000006"/>
        <n v="150225.57440000001"/>
        <n v="2270.2694999999999"/>
        <n v="8139.6070000000009"/>
        <n v="182845.89"/>
        <n v="43061.650499999734"/>
        <n v="87338.136599999998"/>
        <n v="17985.239999999998"/>
        <n v="69862.998700000011"/>
        <n v="23038.3904"/>
        <n v="57793.522499999999"/>
        <n v="108378.47280000002"/>
        <n v="110276.03860000001"/>
        <n v="157108.62999999998"/>
        <n v="5372.5899999999783"/>
        <n v="9203.0831999999991"/>
        <n v="57977.428500000002"/>
        <n v="105433.84999999999"/>
        <n v="34184.979999999996"/>
        <n v="58835.75039999959"/>
        <n v="59264.417399999998"/>
        <n v="2309.8580999999999"/>
        <n v="85500.273600000015"/>
        <n v="10040.8788"/>
        <n v="120813.35039999998"/>
        <n v="59283.681600000004"/>
        <n v="99536.148799999981"/>
        <n v="141848.728"/>
        <n v="60285.576000000001"/>
        <n v="9080.7911999999706"/>
        <n v="60377.270399999994"/>
        <n v="115754.6784"/>
        <n v="49533.443999999901"/>
        <n v="17805.795000000002"/>
        <n v="49679.63"/>
        <n v="61103.705600000001"/>
        <n v="36020.872799999997"/>
        <n v="84522.847500000003"/>
        <n v="60139.783100000001"/>
        <n v="122790.61079999999"/>
        <n v="103800.9382"/>
        <n v="46257.665999999866"/>
        <n v="40115.25"/>
        <n v="30985.632000000001"/>
        <n v="19538.360799999999"/>
        <n v="31604.126400000001"/>
        <n v="11680.8"/>
        <n v="36974.457000000002"/>
        <n v="61331.039999999644"/>
        <n v="63896.543999999994"/>
        <n v="10138.289999999999"/>
        <n v="64276.959599999995"/>
        <n v="62797.376799999991"/>
        <n v="92791.212499999994"/>
        <n v="27102.36"/>
        <n v="17314.207999999999"/>
        <n v="64484.595000000001"/>
        <n v="65276.1"/>
        <n v="134062.02599999998"/>
        <n v="37752.422400000003"/>
        <n v="59060.080799999996"/>
        <n v="84332.464000000007"/>
        <n v="8478.623999999978"/>
        <n v="4643.9639999999999"/>
        <n v="31947.966000000004"/>
        <n v="4981.6558000000005"/>
        <n v="66292.296000000002"/>
        <n v="15548.7696"/>
        <n v="143312.96279999963"/>
        <n v="7816.3670999999995"/>
        <n v="66978.638999999806"/>
        <n v="50974.411799999994"/>
        <n v="132029.84399999998"/>
        <n v="67734.742199999993"/>
        <n v="62071.2284"/>
        <n v="34808.576000000001"/>
        <n v="131699.568"/>
        <n v="22428.358400000001"/>
        <n v="51921.923199999896"/>
        <n v="90314.752499999609"/>
        <n v="69396.633600000001"/>
        <n v="20121.254400000002"/>
        <n v="40757.714999999997"/>
        <n v="134178.35199999998"/>
        <n v="18749.520999999997"/>
        <n v="68128.199999999779"/>
        <n v="111925.04399999999"/>
        <n v="12438.287999999931"/>
        <n v="2083.482"/>
        <n v="129796.69499999999"/>
        <n v="58269.942499999808"/>
        <n v="18713.903999999999"/>
        <n v="54262.571999999716"/>
        <n v="42005.4444"/>
        <n v="19193.903999999999"/>
        <n v="181236.6"/>
        <n v="68326.054000000004"/>
        <n v="69467.066100000011"/>
        <n v="69921.2696"/>
        <n v="71563.557000000001"/>
        <n v="32979.972000000002"/>
        <n v="36002.243199999997"/>
        <n v="193241.34900000002"/>
        <n v="70515.517600000006"/>
        <n v="122385.9798"/>
        <n v="67097.994300000006"/>
        <n v="3363.8920000000003"/>
        <n v="70565.788799999995"/>
        <n v="69386.941799999986"/>
        <n v="44212.343400000005"/>
        <n v="6427.9139999999688"/>
        <n v="129442.98150000001"/>
        <n v="72136.847999999984"/>
        <n v="196658.2464"/>
        <n v="22226.556000000004"/>
        <n v="73977.540000000008"/>
        <n v="74078.866399999999"/>
        <n v="74433.302999999985"/>
        <n v="13876.186799999999"/>
        <n v="75806.635999999999"/>
        <n v="14274.518999999984"/>
        <n v="122483.97"/>
        <n v="77128.831999999995"/>
        <n v="23127.566699999999"/>
        <n v="25568.852399999996"/>
        <n v="78163.545599999998"/>
        <n v="78608.056800000006"/>
        <n v="19821.463199999998"/>
        <n v="79118.24960000001"/>
        <n v="80744.153000000006"/>
        <n v="59946.600000000006"/>
        <n v="168331.06619999962"/>
        <n v="83973.582000000009"/>
        <n v="17224.143399999997"/>
        <n v="16714.846500000003"/>
        <n v="19977.170399999999"/>
        <n v="23637.1734"/>
        <n v="34686.263200000001"/>
        <n v="102648.38399999998"/>
        <n v="85184.000999999989"/>
        <n v="86272.085200000001"/>
        <n v="37830.246299999999"/>
        <n v="35299.440000000002"/>
        <n v="87352.685999999987"/>
        <n v="87769.504199999996"/>
        <n v="59555.20640000001"/>
        <n v="37544.159999999996"/>
        <n v="160399.3596"/>
        <n v="88259.657200000001"/>
        <n v="88846.175999999992"/>
        <n v="13865.183199999981"/>
        <n v="65021.219999999783"/>
        <n v="90212.774700000009"/>
        <n v="91001.364000000001"/>
        <n v="91465.130400000009"/>
        <n v="41929.747199999998"/>
        <n v="586.74720000000002"/>
        <n v="95702.006399999998"/>
        <n v="72325.757399999711"/>
        <n v="162291.73840000003"/>
        <n v="56283.796800000004"/>
        <n v="116164.152"/>
        <n v="57009.571199999991"/>
        <n v="75183.191999999981"/>
        <n v="91573.109099999987"/>
        <n v="91762.671999999991"/>
        <n v="92539.98"/>
        <n v="92713.873200000002"/>
        <n v="108064.1925"/>
        <n v="9221.7384000000002"/>
        <n v="16309.748999999998"/>
        <n v="48775.103999999999"/>
        <n v="27813.941999999999"/>
        <n v="35590.359199999999"/>
        <n v="28665.52"/>
        <n v="93038.426400000011"/>
        <n v="93258.583599999998"/>
        <n v="30441.109499999999"/>
        <n v="249625.88639999999"/>
        <n v="75799.832399999999"/>
        <n v="96142.277499999997"/>
        <n v="25201.175999999999"/>
        <n v="13462.890000000001"/>
        <n v="57528.572400000005"/>
        <n v="97067.683999999703"/>
        <n v="168310.98559999961"/>
        <n v="17798.399999999998"/>
        <n v="98674.083200000008"/>
        <n v="78680.908799999757"/>
        <n v="99848.003999999986"/>
        <n v="102177.72"/>
        <n v="55871.121599999999"/>
        <n v="1736.4509999999998"/>
        <n v="28669.635000000002"/>
        <n v="32778.626400000001"/>
        <n v="45848.9856"/>
        <n v="46802.578300000008"/>
        <n v="102386.3216"/>
        <n v="2573.5789999999997"/>
        <n v="22473.0072"/>
        <n v="27149.085600000002"/>
        <n v="12654.55"/>
        <n v="10077.2364"/>
        <n v="154.16140000000001"/>
        <n v="4919.4449999999997"/>
        <n v="3915.2795000000001"/>
        <n v="21428.539199999996"/>
        <n v="102444.76"/>
        <n v="14062.306499999999"/>
        <n v="3532.4405999999926"/>
        <n v="33138.190800000004"/>
        <n v="62576.25"/>
        <n v="787.84159999999997"/>
        <n v="61374.741599999674"/>
        <n v="103349.00970000001"/>
        <n v="96610.60500000001"/>
        <n v="17147.004000000001"/>
        <n v="12483.055199999999"/>
        <n v="55587.35"/>
        <n v="9143.9712"/>
        <n v="104462.68339999998"/>
        <n v="106091.6836"/>
        <n v="53078.13"/>
        <n v="56637.458800000008"/>
        <n v="68153.326799999995"/>
        <n v="69565.861199999999"/>
        <n v="106142.36159999958"/>
        <n v="22498.139999999996"/>
        <n v="107354.30739999999"/>
        <n v="112901.003"/>
        <n v="20067.192199999998"/>
        <n v="54272.3004"/>
        <n v="97526.304000000004"/>
        <n v="30313.542399999933"/>
        <n v="31638.079199999756"/>
        <n v="113599.76039999998"/>
        <n v="97243.924799999993"/>
        <n v="93695.596799999999"/>
        <n v="101323.26399999998"/>
        <n v="63813.506399999991"/>
        <n v="25594.534399999997"/>
        <n v="40185.514599999871"/>
        <n v="28465.536"/>
        <n v="6370.9800000000005"/>
        <n v="113477.9904"/>
        <n v="29576.3573"/>
        <n v="5775.5375999999997"/>
        <n v="84470.139599999995"/>
        <n v="114236.73359999999"/>
        <n v="116515.74749999976"/>
        <n v="45624.045600000005"/>
        <n v="3659.6610000000001"/>
        <n v="216.4059"/>
        <n v="1807.6968000000002"/>
        <n v="40219.007400000002"/>
        <n v="14833.706999999999"/>
        <n v="118496.56000000001"/>
        <n v="51651.977999999996"/>
        <n v="17487.0311"/>
        <n v="121769.01"/>
        <n v="122794.1176"/>
        <n v="99303.019199999995"/>
        <n v="40713.265999999996"/>
        <n v="5053.6106999999993"/>
        <n v="126028.09799999998"/>
        <n v="27518.828400000002"/>
        <n v="42615.081600000005"/>
        <n v="22956.272400000002"/>
        <n v="129175.56"/>
        <n v="132087.348"/>
        <n v="36213.759999999842"/>
        <n v="22177.679999999917"/>
        <n v="51685.091999999997"/>
        <n v="133233.66"/>
        <n v="133316.37900000002"/>
        <n v="22736.563200000001"/>
        <n v="102495.59999999999"/>
        <n v="176896.3064"/>
        <n v="90591.6"/>
        <n v="26715.403200000001"/>
        <n v="135754.95600000001"/>
        <n v="46742.655299999999"/>
        <n v="135855.72"/>
        <n v="138221.39759999971"/>
        <n v="9504.4806000000008"/>
        <n v="85483.103999999992"/>
        <n v="53100.442500000005"/>
        <n v="101421.68519999975"/>
        <n v="41982.82"/>
        <n v="5070.1440000000002"/>
        <n v="13557.997999999998"/>
        <n v="6750.0887999999995"/>
        <n v="147659.19499999998"/>
        <n v="28001.903999999999"/>
        <n v="8627.4149999999991"/>
        <n v="188436.23999999961"/>
        <n v="17620.855199999998"/>
        <n v="61603.618499999997"/>
        <n v="140961.57749999998"/>
        <n v="95534.602499999994"/>
        <n v="149108.25599999999"/>
        <n v="81747.200000000012"/>
        <n v="89764.804800000013"/>
        <n v="10239.407999999999"/>
        <n v="93220.108500000002"/>
        <n v="141595.39800000002"/>
        <n v="54612.342399999994"/>
        <n v="13169.608099999914"/>
        <n v="142226.5119999997"/>
        <n v="144328.55429999958"/>
        <n v="144532.2879"/>
        <n v="148546.88639999999"/>
        <n v="76114.896000000008"/>
        <n v="48349.440000000002"/>
        <n v="7226.58"/>
        <n v="48159.237000000001"/>
        <n v="38850.199999999997"/>
        <n v="148919.2335"/>
        <n v="153483.76999999999"/>
        <n v="153964.0871999996"/>
        <n v="109201.76250000001"/>
        <n v="84612.716800000009"/>
        <n v="154546.1214"/>
        <n v="78530.233600000007"/>
        <n v="35247.807000000001"/>
        <n v="60538.143600000003"/>
        <n v="156874.965"/>
        <n v="158229.82800000001"/>
        <n v="28308.21"/>
        <n v="163581.12449999998"/>
        <n v="94562.084999999992"/>
        <n v="166406.6208"/>
        <n v="12678.701200000001"/>
        <n v="68073.12000000001"/>
        <n v="98934.497199999998"/>
        <n v="169899.58439999999"/>
        <n v="171394.88939999999"/>
        <n v="41080.470199999996"/>
        <n v="174376.80000000002"/>
        <n v="174224.03400000001"/>
        <n v="183677.52"/>
        <n v="16762.751999999997"/>
        <n v="175904.78400000001"/>
        <n v="134240.60099999962"/>
        <n v="30717.896299999884"/>
        <n v="127406.36159999999"/>
        <n v="110145.7504"/>
        <n v="177072.13440000001"/>
        <n v="48155.366400000006"/>
        <n v="24999.1"/>
        <n v="180339.6972"/>
        <n v="54771.443999999996"/>
        <n v="26379.252899999999"/>
        <n v="21540.171599999998"/>
        <n v="27411.091199999999"/>
        <n v="188837.88310000001"/>
        <n v="6325.44"/>
        <n v="166617.91649999999"/>
        <n v="6109.9972000000007"/>
        <n v="188867.85030000002"/>
        <n v="191636.20699999999"/>
        <n v="29475.9624"/>
        <n v="234866.62340000001"/>
        <n v="4041.9807999999998"/>
      </sharedItems>
    </cacheField>
    <cacheField name="Quantity Sold" numFmtId="1">
      <sharedItems containsSemiMixedTypes="0" containsString="0" containsNumber="1" containsInteger="1" minValue="1" maxValue="49"/>
    </cacheField>
    <cacheField name="Product Category" numFmtId="0">
      <sharedItems count="4">
        <s v="Furniture"/>
        <s v="Electronics"/>
        <s v="Food"/>
        <s v="Clothing"/>
      </sharedItems>
    </cacheField>
    <cacheField name="Unit Price" numFmtId="164">
      <sharedItems containsSemiMixedTypes="0" containsString="0" containsNumber="1" minValue="167.12" maxValue="5442.15"/>
    </cacheField>
    <cacheField name="Customer Type" numFmtId="0">
      <sharedItems count="2">
        <s v="New"/>
        <s v="Returning"/>
      </sharedItems>
    </cacheField>
    <cacheField name="Discount" numFmtId="9">
      <sharedItems containsSemiMixedTypes="0" containsString="0" containsNumber="1" minValue="0" maxValue="0.3"/>
    </cacheField>
    <cacheField name="Payment Method" numFmtId="0">
      <sharedItems count="3">
        <s v="Bank Transfer"/>
        <s v="Cash"/>
        <s v="Credit Card"/>
      </sharedItems>
    </cacheField>
    <cacheField name="Sales Channel" numFmtId="0">
      <sharedItems count="2">
        <s v="Online"/>
        <s v="Retail"/>
      </sharedItems>
    </cacheField>
  </cacheFields>
  <extLst>
    <ext xmlns:x14="http://schemas.microsoft.com/office/spreadsheetml/2009/9/main" uri="{725AE2AE-9491-48be-B2B4-4EB974FC3084}">
      <x14:pivotCacheDefinition pivotCacheId="1291132264"/>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46"/>
    <x v="0"/>
    <n v="3964.65"/>
    <x v="0"/>
    <n v="0.12"/>
    <x v="0"/>
    <x v="0"/>
  </r>
  <r>
    <x v="0"/>
    <x v="0"/>
    <x v="1"/>
    <x v="1"/>
    <n v="10"/>
    <x v="1"/>
    <n v="5074.42"/>
    <x v="0"/>
    <n v="0.12"/>
    <x v="1"/>
    <x v="0"/>
  </r>
  <r>
    <x v="0"/>
    <x v="1"/>
    <x v="2"/>
    <x v="2"/>
    <n v="11"/>
    <x v="2"/>
    <n v="814.14"/>
    <x v="1"/>
    <n v="0.02"/>
    <x v="1"/>
    <x v="0"/>
  </r>
  <r>
    <x v="0"/>
    <x v="0"/>
    <x v="1"/>
    <x v="3"/>
    <n v="15"/>
    <x v="3"/>
    <n v="4888.46"/>
    <x v="0"/>
    <n v="0.28999999999999998"/>
    <x v="2"/>
    <x v="0"/>
  </r>
  <r>
    <x v="0"/>
    <x v="0"/>
    <x v="2"/>
    <x v="4"/>
    <n v="14"/>
    <x v="1"/>
    <n v="3710.92"/>
    <x v="0"/>
    <n v="0.1"/>
    <x v="0"/>
    <x v="1"/>
  </r>
  <r>
    <x v="0"/>
    <x v="1"/>
    <x v="1"/>
    <x v="5"/>
    <n v="11"/>
    <x v="3"/>
    <n v="2519.0700000000002"/>
    <x v="1"/>
    <n v="0"/>
    <x v="1"/>
    <x v="0"/>
  </r>
  <r>
    <x v="0"/>
    <x v="2"/>
    <x v="1"/>
    <x v="6"/>
    <n v="40"/>
    <x v="1"/>
    <n v="4731.9799999999996"/>
    <x v="0"/>
    <n v="0.2"/>
    <x v="0"/>
    <x v="1"/>
  </r>
  <r>
    <x v="0"/>
    <x v="0"/>
    <x v="2"/>
    <x v="7"/>
    <n v="38"/>
    <x v="3"/>
    <n v="5075.4399999999996"/>
    <x v="1"/>
    <n v="0.05"/>
    <x v="1"/>
    <x v="0"/>
  </r>
  <r>
    <x v="0"/>
    <x v="0"/>
    <x v="0"/>
    <x v="8"/>
    <n v="40"/>
    <x v="0"/>
    <n v="2929.32"/>
    <x v="1"/>
    <n v="0.08"/>
    <x v="1"/>
    <x v="0"/>
  </r>
  <r>
    <x v="0"/>
    <x v="1"/>
    <x v="1"/>
    <x v="9"/>
    <n v="17"/>
    <x v="3"/>
    <n v="2839.73"/>
    <x v="1"/>
    <n v="0.23"/>
    <x v="0"/>
    <x v="1"/>
  </r>
  <r>
    <x v="0"/>
    <x v="2"/>
    <x v="2"/>
    <x v="10"/>
    <n v="35"/>
    <x v="3"/>
    <n v="4304.7"/>
    <x v="0"/>
    <n v="0.14000000000000001"/>
    <x v="2"/>
    <x v="0"/>
  </r>
  <r>
    <x v="0"/>
    <x v="3"/>
    <x v="0"/>
    <x v="11"/>
    <n v="44"/>
    <x v="2"/>
    <n v="938.04"/>
    <x v="1"/>
    <n v="0.03"/>
    <x v="1"/>
    <x v="0"/>
  </r>
  <r>
    <x v="0"/>
    <x v="1"/>
    <x v="3"/>
    <x v="12"/>
    <n v="24"/>
    <x v="3"/>
    <n v="1367.76"/>
    <x v="0"/>
    <n v="0.06"/>
    <x v="0"/>
    <x v="0"/>
  </r>
  <r>
    <x v="0"/>
    <x v="3"/>
    <x v="2"/>
    <x v="13"/>
    <n v="40"/>
    <x v="3"/>
    <n v="3192.37"/>
    <x v="1"/>
    <n v="0.26"/>
    <x v="0"/>
    <x v="0"/>
  </r>
  <r>
    <x v="0"/>
    <x v="3"/>
    <x v="3"/>
    <x v="14"/>
    <n v="26"/>
    <x v="2"/>
    <n v="477.67"/>
    <x v="1"/>
    <n v="0.14000000000000001"/>
    <x v="1"/>
    <x v="1"/>
  </r>
  <r>
    <x v="0"/>
    <x v="0"/>
    <x v="2"/>
    <x v="15"/>
    <n v="25"/>
    <x v="1"/>
    <n v="1982.92"/>
    <x v="0"/>
    <n v="0.17"/>
    <x v="0"/>
    <x v="0"/>
  </r>
  <r>
    <x v="0"/>
    <x v="1"/>
    <x v="1"/>
    <x v="16"/>
    <n v="2"/>
    <x v="3"/>
    <n v="914.77"/>
    <x v="1"/>
    <n v="0.26"/>
    <x v="0"/>
    <x v="0"/>
  </r>
  <r>
    <x v="1"/>
    <x v="4"/>
    <x v="1"/>
    <x v="17"/>
    <n v="1"/>
    <x v="2"/>
    <n v="404.69"/>
    <x v="1"/>
    <n v="0.28999999999999998"/>
    <x v="0"/>
    <x v="0"/>
  </r>
  <r>
    <x v="0"/>
    <x v="0"/>
    <x v="2"/>
    <x v="18"/>
    <n v="35"/>
    <x v="1"/>
    <n v="970.49"/>
    <x v="1"/>
    <n v="0.15"/>
    <x v="0"/>
    <x v="1"/>
  </r>
  <r>
    <x v="0"/>
    <x v="2"/>
    <x v="1"/>
    <x v="19"/>
    <n v="25"/>
    <x v="2"/>
    <n v="1382.4299999999901"/>
    <x v="1"/>
    <n v="0.24"/>
    <x v="2"/>
    <x v="1"/>
  </r>
  <r>
    <x v="0"/>
    <x v="3"/>
    <x v="0"/>
    <x v="20"/>
    <n v="13"/>
    <x v="3"/>
    <n v="2913.78"/>
    <x v="0"/>
    <n v="0.08"/>
    <x v="2"/>
    <x v="1"/>
  </r>
  <r>
    <x v="0"/>
    <x v="0"/>
    <x v="0"/>
    <x v="21"/>
    <n v="12"/>
    <x v="0"/>
    <n v="863.03"/>
    <x v="1"/>
    <n v="0.25"/>
    <x v="0"/>
    <x v="1"/>
  </r>
  <r>
    <x v="0"/>
    <x v="0"/>
    <x v="2"/>
    <x v="22"/>
    <n v="22"/>
    <x v="1"/>
    <n v="1510.3"/>
    <x v="1"/>
    <n v="0.15"/>
    <x v="1"/>
    <x v="1"/>
  </r>
  <r>
    <x v="0"/>
    <x v="3"/>
    <x v="0"/>
    <x v="23"/>
    <n v="47"/>
    <x v="0"/>
    <n v="4211.25"/>
    <x v="1"/>
    <n v="7.0000000000000007E-2"/>
    <x v="0"/>
    <x v="0"/>
  </r>
  <r>
    <x v="0"/>
    <x v="2"/>
    <x v="0"/>
    <x v="24"/>
    <n v="17"/>
    <x v="3"/>
    <n v="4645.3500000000004"/>
    <x v="0"/>
    <n v="0.12"/>
    <x v="2"/>
    <x v="1"/>
  </r>
  <r>
    <x v="0"/>
    <x v="3"/>
    <x v="3"/>
    <x v="25"/>
    <n v="7"/>
    <x v="3"/>
    <n v="4723.2"/>
    <x v="1"/>
    <n v="0.05"/>
    <x v="2"/>
    <x v="1"/>
  </r>
  <r>
    <x v="0"/>
    <x v="2"/>
    <x v="1"/>
    <x v="26"/>
    <n v="44"/>
    <x v="1"/>
    <n v="1983.82"/>
    <x v="0"/>
    <n v="0.24"/>
    <x v="2"/>
    <x v="0"/>
  </r>
  <r>
    <x v="2"/>
    <x v="4"/>
    <x v="2"/>
    <x v="27"/>
    <n v="1"/>
    <x v="0"/>
    <n v="808.69"/>
    <x v="0"/>
    <n v="0.22"/>
    <x v="2"/>
    <x v="0"/>
  </r>
  <r>
    <x v="0"/>
    <x v="3"/>
    <x v="2"/>
    <x v="28"/>
    <n v="9"/>
    <x v="0"/>
    <n v="3730.43"/>
    <x v="0"/>
    <n v="0.17"/>
    <x v="0"/>
    <x v="0"/>
  </r>
  <r>
    <x v="3"/>
    <x v="4"/>
    <x v="1"/>
    <x v="29"/>
    <n v="1"/>
    <x v="2"/>
    <n v="1709.71"/>
    <x v="1"/>
    <n v="0.14000000000000001"/>
    <x v="2"/>
    <x v="0"/>
  </r>
  <r>
    <x v="0"/>
    <x v="0"/>
    <x v="2"/>
    <x v="30"/>
    <n v="5"/>
    <x v="2"/>
    <n v="5050.46"/>
    <x v="0"/>
    <n v="0.25"/>
    <x v="1"/>
    <x v="1"/>
  </r>
  <r>
    <x v="0"/>
    <x v="0"/>
    <x v="1"/>
    <x v="31"/>
    <n v="43"/>
    <x v="3"/>
    <n v="4199.3"/>
    <x v="0"/>
    <n v="0.1"/>
    <x v="0"/>
    <x v="1"/>
  </r>
  <r>
    <x v="0"/>
    <x v="3"/>
    <x v="1"/>
    <x v="32"/>
    <n v="6"/>
    <x v="2"/>
    <n v="4998.78"/>
    <x v="1"/>
    <n v="0.17"/>
    <x v="1"/>
    <x v="1"/>
  </r>
  <r>
    <x v="0"/>
    <x v="2"/>
    <x v="2"/>
    <x v="33"/>
    <n v="48"/>
    <x v="1"/>
    <n v="533.57999999999902"/>
    <x v="0"/>
    <n v="0.04"/>
    <x v="0"/>
    <x v="0"/>
  </r>
  <r>
    <x v="0"/>
    <x v="3"/>
    <x v="1"/>
    <x v="34"/>
    <n v="17"/>
    <x v="0"/>
    <n v="1865.83"/>
    <x v="0"/>
    <n v="0.21"/>
    <x v="1"/>
    <x v="0"/>
  </r>
  <r>
    <x v="0"/>
    <x v="2"/>
    <x v="0"/>
    <x v="35"/>
    <n v="19"/>
    <x v="1"/>
    <n v="1697.1899999999901"/>
    <x v="0"/>
    <n v="0.1"/>
    <x v="2"/>
    <x v="0"/>
  </r>
  <r>
    <x v="0"/>
    <x v="3"/>
    <x v="0"/>
    <x v="36"/>
    <n v="3"/>
    <x v="1"/>
    <n v="1582.89"/>
    <x v="0"/>
    <n v="0.02"/>
    <x v="2"/>
    <x v="1"/>
  </r>
  <r>
    <x v="0"/>
    <x v="0"/>
    <x v="2"/>
    <x v="37"/>
    <n v="41"/>
    <x v="2"/>
    <n v="3430.99"/>
    <x v="0"/>
    <n v="0.21"/>
    <x v="0"/>
    <x v="1"/>
  </r>
  <r>
    <x v="0"/>
    <x v="0"/>
    <x v="2"/>
    <x v="38"/>
    <n v="25"/>
    <x v="2"/>
    <n v="2850.56"/>
    <x v="0"/>
    <n v="0.13"/>
    <x v="0"/>
    <x v="0"/>
  </r>
  <r>
    <x v="0"/>
    <x v="2"/>
    <x v="3"/>
    <x v="39"/>
    <n v="34"/>
    <x v="1"/>
    <n v="5184.6400000000003"/>
    <x v="0"/>
    <n v="0.17"/>
    <x v="1"/>
    <x v="0"/>
  </r>
  <r>
    <x v="2"/>
    <x v="4"/>
    <x v="2"/>
    <x v="40"/>
    <n v="1"/>
    <x v="2"/>
    <n v="2475.56"/>
    <x v="0"/>
    <n v="0.25"/>
    <x v="1"/>
    <x v="0"/>
  </r>
  <r>
    <x v="0"/>
    <x v="2"/>
    <x v="3"/>
    <x v="41"/>
    <n v="27"/>
    <x v="3"/>
    <n v="4967.4399999999996"/>
    <x v="0"/>
    <n v="0.12"/>
    <x v="1"/>
    <x v="0"/>
  </r>
  <r>
    <x v="0"/>
    <x v="0"/>
    <x v="1"/>
    <x v="42"/>
    <n v="13"/>
    <x v="2"/>
    <n v="2504.6"/>
    <x v="1"/>
    <n v="0.06"/>
    <x v="0"/>
    <x v="0"/>
  </r>
  <r>
    <x v="0"/>
    <x v="0"/>
    <x v="3"/>
    <x v="43"/>
    <n v="21"/>
    <x v="1"/>
    <n v="2953.91"/>
    <x v="0"/>
    <n v="0.1"/>
    <x v="0"/>
    <x v="1"/>
  </r>
  <r>
    <x v="0"/>
    <x v="0"/>
    <x v="1"/>
    <x v="44"/>
    <n v="36"/>
    <x v="2"/>
    <n v="4853.41"/>
    <x v="1"/>
    <n v="0.25"/>
    <x v="2"/>
    <x v="1"/>
  </r>
  <r>
    <x v="0"/>
    <x v="0"/>
    <x v="0"/>
    <x v="45"/>
    <n v="7"/>
    <x v="1"/>
    <n v="2001.08"/>
    <x v="0"/>
    <n v="0.19"/>
    <x v="0"/>
    <x v="0"/>
  </r>
  <r>
    <x v="4"/>
    <x v="4"/>
    <x v="1"/>
    <x v="46"/>
    <n v="2"/>
    <x v="3"/>
    <n v="1225.6400000000001"/>
    <x v="1"/>
    <n v="0.23"/>
    <x v="2"/>
    <x v="0"/>
  </r>
  <r>
    <x v="0"/>
    <x v="1"/>
    <x v="2"/>
    <x v="47"/>
    <n v="13"/>
    <x v="0"/>
    <n v="492.68"/>
    <x v="0"/>
    <n v="0.12"/>
    <x v="2"/>
    <x v="1"/>
  </r>
  <r>
    <x v="0"/>
    <x v="1"/>
    <x v="1"/>
    <x v="48"/>
    <n v="6"/>
    <x v="2"/>
    <n v="2152.1999999999998"/>
    <x v="0"/>
    <n v="0.25"/>
    <x v="0"/>
    <x v="1"/>
  </r>
  <r>
    <x v="0"/>
    <x v="3"/>
    <x v="0"/>
    <x v="49"/>
    <n v="45"/>
    <x v="3"/>
    <n v="3045.9399999999901"/>
    <x v="0"/>
    <n v="0.01"/>
    <x v="1"/>
    <x v="1"/>
  </r>
  <r>
    <x v="0"/>
    <x v="2"/>
    <x v="2"/>
    <x v="50"/>
    <n v="19"/>
    <x v="0"/>
    <n v="768.06"/>
    <x v="1"/>
    <n v="0.09"/>
    <x v="2"/>
    <x v="0"/>
  </r>
  <r>
    <x v="0"/>
    <x v="0"/>
    <x v="0"/>
    <x v="51"/>
    <n v="38"/>
    <x v="0"/>
    <n v="1848.69"/>
    <x v="1"/>
    <n v="0"/>
    <x v="0"/>
    <x v="1"/>
  </r>
  <r>
    <x v="0"/>
    <x v="0"/>
    <x v="1"/>
    <x v="52"/>
    <n v="20"/>
    <x v="3"/>
    <n v="3759.0099999999902"/>
    <x v="1"/>
    <n v="0.05"/>
    <x v="2"/>
    <x v="1"/>
  </r>
  <r>
    <x v="0"/>
    <x v="2"/>
    <x v="3"/>
    <x v="53"/>
    <n v="13"/>
    <x v="0"/>
    <n v="3860.56"/>
    <x v="1"/>
    <n v="0.22"/>
    <x v="1"/>
    <x v="1"/>
  </r>
  <r>
    <x v="0"/>
    <x v="3"/>
    <x v="1"/>
    <x v="54"/>
    <n v="31"/>
    <x v="0"/>
    <n v="4711.7"/>
    <x v="0"/>
    <n v="0.21"/>
    <x v="1"/>
    <x v="1"/>
  </r>
  <r>
    <x v="0"/>
    <x v="3"/>
    <x v="1"/>
    <x v="55"/>
    <n v="21"/>
    <x v="3"/>
    <n v="648.29"/>
    <x v="1"/>
    <n v="0.2"/>
    <x v="0"/>
    <x v="0"/>
  </r>
  <r>
    <x v="0"/>
    <x v="3"/>
    <x v="2"/>
    <x v="56"/>
    <n v="11"/>
    <x v="3"/>
    <n v="3929.26"/>
    <x v="0"/>
    <n v="0.3"/>
    <x v="2"/>
    <x v="1"/>
  </r>
  <r>
    <x v="0"/>
    <x v="2"/>
    <x v="2"/>
    <x v="57"/>
    <n v="12"/>
    <x v="0"/>
    <n v="746.28"/>
    <x v="1"/>
    <n v="0.04"/>
    <x v="0"/>
    <x v="1"/>
  </r>
  <r>
    <x v="3"/>
    <x v="4"/>
    <x v="2"/>
    <x v="58"/>
    <n v="9"/>
    <x v="1"/>
    <n v="316.39"/>
    <x v="0"/>
    <n v="0.14000000000000001"/>
    <x v="2"/>
    <x v="0"/>
  </r>
  <r>
    <x v="0"/>
    <x v="2"/>
    <x v="1"/>
    <x v="59"/>
    <n v="20"/>
    <x v="0"/>
    <n v="3880.53"/>
    <x v="0"/>
    <n v="0.24"/>
    <x v="0"/>
    <x v="0"/>
  </r>
  <r>
    <x v="0"/>
    <x v="0"/>
    <x v="3"/>
    <x v="60"/>
    <n v="16"/>
    <x v="3"/>
    <n v="3883.77"/>
    <x v="1"/>
    <n v="0.18"/>
    <x v="0"/>
    <x v="1"/>
  </r>
  <r>
    <x v="0"/>
    <x v="2"/>
    <x v="2"/>
    <x v="61"/>
    <n v="41"/>
    <x v="3"/>
    <n v="5243.13"/>
    <x v="0"/>
    <n v="0.01"/>
    <x v="2"/>
    <x v="0"/>
  </r>
  <r>
    <x v="4"/>
    <x v="4"/>
    <x v="0"/>
    <x v="62"/>
    <n v="4"/>
    <x v="2"/>
    <n v="863.81"/>
    <x v="0"/>
    <n v="0.27"/>
    <x v="2"/>
    <x v="1"/>
  </r>
  <r>
    <x v="0"/>
    <x v="0"/>
    <x v="3"/>
    <x v="63"/>
    <n v="16"/>
    <x v="2"/>
    <n v="842.46"/>
    <x v="0"/>
    <n v="0"/>
    <x v="1"/>
    <x v="1"/>
  </r>
  <r>
    <x v="0"/>
    <x v="2"/>
    <x v="2"/>
    <x v="64"/>
    <n v="36"/>
    <x v="2"/>
    <n v="5165.09"/>
    <x v="1"/>
    <n v="0.24"/>
    <x v="1"/>
    <x v="0"/>
  </r>
  <r>
    <x v="5"/>
    <x v="4"/>
    <x v="0"/>
    <x v="65"/>
    <n v="2"/>
    <x v="0"/>
    <n v="1576.69"/>
    <x v="1"/>
    <n v="0.12"/>
    <x v="2"/>
    <x v="0"/>
  </r>
  <r>
    <x v="0"/>
    <x v="2"/>
    <x v="2"/>
    <x v="66"/>
    <n v="21"/>
    <x v="2"/>
    <n v="3988.7"/>
    <x v="0"/>
    <n v="0.03"/>
    <x v="0"/>
    <x v="1"/>
  </r>
  <r>
    <x v="0"/>
    <x v="1"/>
    <x v="1"/>
    <x v="67"/>
    <n v="39"/>
    <x v="0"/>
    <n v="3465.79"/>
    <x v="0"/>
    <n v="0.08"/>
    <x v="1"/>
    <x v="0"/>
  </r>
  <r>
    <x v="0"/>
    <x v="2"/>
    <x v="0"/>
    <x v="68"/>
    <n v="16"/>
    <x v="3"/>
    <n v="2211.17"/>
    <x v="1"/>
    <n v="0.21"/>
    <x v="0"/>
    <x v="0"/>
  </r>
  <r>
    <x v="0"/>
    <x v="2"/>
    <x v="2"/>
    <x v="69"/>
    <n v="31"/>
    <x v="1"/>
    <n v="3133.55"/>
    <x v="1"/>
    <n v="0.17"/>
    <x v="0"/>
    <x v="1"/>
  </r>
  <r>
    <x v="0"/>
    <x v="1"/>
    <x v="3"/>
    <x v="70"/>
    <n v="35"/>
    <x v="1"/>
    <n v="1352.11"/>
    <x v="1"/>
    <n v="0.22"/>
    <x v="0"/>
    <x v="1"/>
  </r>
  <r>
    <x v="0"/>
    <x v="1"/>
    <x v="2"/>
    <x v="71"/>
    <n v="28"/>
    <x v="0"/>
    <n v="4234.92"/>
    <x v="0"/>
    <n v="0.28000000000000003"/>
    <x v="2"/>
    <x v="1"/>
  </r>
  <r>
    <x v="0"/>
    <x v="0"/>
    <x v="2"/>
    <x v="72"/>
    <n v="6"/>
    <x v="3"/>
    <n v="2116.7399999999998"/>
    <x v="0"/>
    <n v="0.11"/>
    <x v="2"/>
    <x v="0"/>
  </r>
  <r>
    <x v="4"/>
    <x v="4"/>
    <x v="1"/>
    <x v="73"/>
    <n v="1"/>
    <x v="3"/>
    <n v="3590.83"/>
    <x v="0"/>
    <n v="0.19"/>
    <x v="0"/>
    <x v="1"/>
  </r>
  <r>
    <x v="2"/>
    <x v="4"/>
    <x v="0"/>
    <x v="74"/>
    <n v="23"/>
    <x v="3"/>
    <n v="181.62"/>
    <x v="1"/>
    <n v="0.3"/>
    <x v="0"/>
    <x v="1"/>
  </r>
  <r>
    <x v="0"/>
    <x v="3"/>
    <x v="0"/>
    <x v="75"/>
    <n v="8"/>
    <x v="0"/>
    <n v="1798.02"/>
    <x v="0"/>
    <n v="7.0000000000000007E-2"/>
    <x v="2"/>
    <x v="0"/>
  </r>
  <r>
    <x v="0"/>
    <x v="1"/>
    <x v="0"/>
    <x v="76"/>
    <n v="29"/>
    <x v="1"/>
    <n v="4405.8"/>
    <x v="0"/>
    <n v="0.04"/>
    <x v="0"/>
    <x v="0"/>
  </r>
  <r>
    <x v="6"/>
    <x v="4"/>
    <x v="2"/>
    <x v="77"/>
    <n v="5"/>
    <x v="0"/>
    <n v="856.91"/>
    <x v="1"/>
    <n v="0.23"/>
    <x v="0"/>
    <x v="1"/>
  </r>
  <r>
    <x v="0"/>
    <x v="2"/>
    <x v="2"/>
    <x v="78"/>
    <n v="3"/>
    <x v="0"/>
    <n v="2091.23"/>
    <x v="1"/>
    <n v="0.09"/>
    <x v="1"/>
    <x v="1"/>
  </r>
  <r>
    <x v="0"/>
    <x v="0"/>
    <x v="2"/>
    <x v="79"/>
    <n v="6"/>
    <x v="0"/>
    <n v="3081.04"/>
    <x v="1"/>
    <n v="0.1"/>
    <x v="0"/>
    <x v="1"/>
  </r>
  <r>
    <x v="0"/>
    <x v="2"/>
    <x v="0"/>
    <x v="80"/>
    <n v="35"/>
    <x v="0"/>
    <n v="4188.66"/>
    <x v="0"/>
    <n v="0.17"/>
    <x v="0"/>
    <x v="0"/>
  </r>
  <r>
    <x v="0"/>
    <x v="3"/>
    <x v="0"/>
    <x v="81"/>
    <n v="12"/>
    <x v="1"/>
    <n v="2079.64"/>
    <x v="1"/>
    <n v="0.04"/>
    <x v="1"/>
    <x v="0"/>
  </r>
  <r>
    <x v="0"/>
    <x v="0"/>
    <x v="0"/>
    <x v="82"/>
    <n v="4"/>
    <x v="1"/>
    <n v="1175.21999999999"/>
    <x v="1"/>
    <n v="0.12"/>
    <x v="0"/>
    <x v="1"/>
  </r>
  <r>
    <x v="0"/>
    <x v="3"/>
    <x v="1"/>
    <x v="83"/>
    <n v="38"/>
    <x v="2"/>
    <n v="3081.5"/>
    <x v="0"/>
    <n v="0.01"/>
    <x v="0"/>
    <x v="0"/>
  </r>
  <r>
    <x v="0"/>
    <x v="3"/>
    <x v="1"/>
    <x v="84"/>
    <n v="22"/>
    <x v="1"/>
    <n v="4647.28"/>
    <x v="1"/>
    <n v="0.11"/>
    <x v="1"/>
    <x v="0"/>
  </r>
  <r>
    <x v="0"/>
    <x v="3"/>
    <x v="2"/>
    <x v="85"/>
    <n v="45"/>
    <x v="0"/>
    <n v="4695.54"/>
    <x v="1"/>
    <n v="0.06"/>
    <x v="1"/>
    <x v="1"/>
  </r>
  <r>
    <x v="0"/>
    <x v="1"/>
    <x v="2"/>
    <x v="86"/>
    <n v="48"/>
    <x v="3"/>
    <n v="2872.8"/>
    <x v="0"/>
    <n v="0.17"/>
    <x v="1"/>
    <x v="0"/>
  </r>
  <r>
    <x v="0"/>
    <x v="1"/>
    <x v="0"/>
    <x v="87"/>
    <n v="11"/>
    <x v="2"/>
    <n v="3915.41"/>
    <x v="1"/>
    <n v="0.02"/>
    <x v="1"/>
    <x v="0"/>
  </r>
  <r>
    <x v="7"/>
    <x v="4"/>
    <x v="0"/>
    <x v="88"/>
    <n v="9"/>
    <x v="3"/>
    <n v="498.31"/>
    <x v="0"/>
    <n v="0.26"/>
    <x v="1"/>
    <x v="1"/>
  </r>
  <r>
    <x v="7"/>
    <x v="4"/>
    <x v="1"/>
    <x v="89"/>
    <n v="4"/>
    <x v="0"/>
    <n v="1115.24"/>
    <x v="0"/>
    <n v="0.24"/>
    <x v="2"/>
    <x v="1"/>
  </r>
  <r>
    <x v="8"/>
    <x v="4"/>
    <x v="3"/>
    <x v="90"/>
    <n v="6"/>
    <x v="2"/>
    <n v="677.5"/>
    <x v="1"/>
    <n v="0.16"/>
    <x v="2"/>
    <x v="0"/>
  </r>
  <r>
    <x v="0"/>
    <x v="3"/>
    <x v="1"/>
    <x v="91"/>
    <n v="46"/>
    <x v="2"/>
    <n v="2961.56"/>
    <x v="1"/>
    <n v="0.1"/>
    <x v="1"/>
    <x v="0"/>
  </r>
  <r>
    <x v="0"/>
    <x v="3"/>
    <x v="1"/>
    <x v="92"/>
    <n v="30"/>
    <x v="0"/>
    <n v="1143.02"/>
    <x v="1"/>
    <n v="0.2"/>
    <x v="2"/>
    <x v="0"/>
  </r>
  <r>
    <x v="0"/>
    <x v="2"/>
    <x v="3"/>
    <x v="93"/>
    <n v="25"/>
    <x v="2"/>
    <n v="2584.35"/>
    <x v="1"/>
    <n v="0.2"/>
    <x v="1"/>
    <x v="0"/>
  </r>
  <r>
    <x v="0"/>
    <x v="0"/>
    <x v="3"/>
    <x v="94"/>
    <n v="38"/>
    <x v="2"/>
    <n v="3820.3"/>
    <x v="1"/>
    <n v="0.01"/>
    <x v="2"/>
    <x v="1"/>
  </r>
  <r>
    <x v="0"/>
    <x v="2"/>
    <x v="1"/>
    <x v="95"/>
    <n v="47"/>
    <x v="3"/>
    <n v="1067.6600000000001"/>
    <x v="0"/>
    <n v="0.24"/>
    <x v="1"/>
    <x v="1"/>
  </r>
  <r>
    <x v="0"/>
    <x v="3"/>
    <x v="1"/>
    <x v="96"/>
    <n v="38"/>
    <x v="0"/>
    <n v="4506.8099999999904"/>
    <x v="1"/>
    <n v="0.24"/>
    <x v="0"/>
    <x v="0"/>
  </r>
  <r>
    <x v="0"/>
    <x v="0"/>
    <x v="2"/>
    <x v="97"/>
    <n v="27"/>
    <x v="1"/>
    <n v="1399.09"/>
    <x v="1"/>
    <n v="0.27"/>
    <x v="2"/>
    <x v="0"/>
  </r>
  <r>
    <x v="0"/>
    <x v="0"/>
    <x v="2"/>
    <x v="98"/>
    <n v="14"/>
    <x v="0"/>
    <n v="4323.71"/>
    <x v="1"/>
    <n v="0.27"/>
    <x v="2"/>
    <x v="0"/>
  </r>
  <r>
    <x v="0"/>
    <x v="3"/>
    <x v="1"/>
    <x v="99"/>
    <n v="29"/>
    <x v="3"/>
    <n v="3481.72"/>
    <x v="0"/>
    <n v="0.24"/>
    <x v="0"/>
    <x v="1"/>
  </r>
  <r>
    <x v="9"/>
    <x v="3"/>
    <x v="2"/>
    <x v="100"/>
    <n v="18"/>
    <x v="0"/>
    <n v="267.22000000000003"/>
    <x v="1"/>
    <n v="0.09"/>
    <x v="1"/>
    <x v="0"/>
  </r>
  <r>
    <x v="9"/>
    <x v="2"/>
    <x v="3"/>
    <x v="101"/>
    <n v="32"/>
    <x v="2"/>
    <n v="1106.51"/>
    <x v="0"/>
    <n v="0.21"/>
    <x v="1"/>
    <x v="0"/>
  </r>
  <r>
    <x v="7"/>
    <x v="4"/>
    <x v="1"/>
    <x v="102"/>
    <n v="6"/>
    <x v="3"/>
    <n v="737.49"/>
    <x v="1"/>
    <n v="0.19"/>
    <x v="2"/>
    <x v="1"/>
  </r>
  <r>
    <x v="9"/>
    <x v="2"/>
    <x v="0"/>
    <x v="103"/>
    <n v="9"/>
    <x v="1"/>
    <n v="1550.19"/>
    <x v="0"/>
    <n v="0.28000000000000003"/>
    <x v="2"/>
    <x v="1"/>
  </r>
  <r>
    <x v="4"/>
    <x v="4"/>
    <x v="2"/>
    <x v="104"/>
    <n v="9"/>
    <x v="3"/>
    <n v="446.11"/>
    <x v="0"/>
    <n v="0.01"/>
    <x v="0"/>
    <x v="1"/>
  </r>
  <r>
    <x v="7"/>
    <x v="4"/>
    <x v="3"/>
    <x v="105"/>
    <n v="6"/>
    <x v="3"/>
    <n v="838.97"/>
    <x v="0"/>
    <n v="0.17"/>
    <x v="2"/>
    <x v="0"/>
  </r>
  <r>
    <x v="9"/>
    <x v="3"/>
    <x v="1"/>
    <x v="106"/>
    <n v="26"/>
    <x v="2"/>
    <n v="4002.63"/>
    <x v="0"/>
    <n v="0.05"/>
    <x v="2"/>
    <x v="1"/>
  </r>
  <r>
    <x v="9"/>
    <x v="1"/>
    <x v="3"/>
    <x v="107"/>
    <n v="19"/>
    <x v="1"/>
    <n v="1715.83"/>
    <x v="0"/>
    <n v="0.05"/>
    <x v="2"/>
    <x v="1"/>
  </r>
  <r>
    <x v="9"/>
    <x v="1"/>
    <x v="1"/>
    <x v="108"/>
    <n v="24"/>
    <x v="3"/>
    <n v="2766.05"/>
    <x v="1"/>
    <n v="0.16"/>
    <x v="0"/>
    <x v="1"/>
  </r>
  <r>
    <x v="9"/>
    <x v="1"/>
    <x v="0"/>
    <x v="109"/>
    <n v="49"/>
    <x v="0"/>
    <n v="3183.58"/>
    <x v="1"/>
    <n v="0.25"/>
    <x v="1"/>
    <x v="1"/>
  </r>
  <r>
    <x v="7"/>
    <x v="4"/>
    <x v="2"/>
    <x v="110"/>
    <n v="2"/>
    <x v="3"/>
    <n v="2558.6799999999998"/>
    <x v="0"/>
    <n v="0.09"/>
    <x v="2"/>
    <x v="1"/>
  </r>
  <r>
    <x v="9"/>
    <x v="0"/>
    <x v="3"/>
    <x v="111"/>
    <n v="12"/>
    <x v="3"/>
    <n v="2743.09"/>
    <x v="0"/>
    <n v="0.28999999999999998"/>
    <x v="2"/>
    <x v="1"/>
  </r>
  <r>
    <x v="9"/>
    <x v="3"/>
    <x v="1"/>
    <x v="112"/>
    <n v="24"/>
    <x v="1"/>
    <n v="2241.96"/>
    <x v="1"/>
    <n v="0.02"/>
    <x v="2"/>
    <x v="0"/>
  </r>
  <r>
    <x v="9"/>
    <x v="3"/>
    <x v="3"/>
    <x v="113"/>
    <n v="3"/>
    <x v="2"/>
    <n v="1271.99"/>
    <x v="0"/>
    <n v="0.15"/>
    <x v="2"/>
    <x v="0"/>
  </r>
  <r>
    <x v="9"/>
    <x v="2"/>
    <x v="3"/>
    <x v="114"/>
    <n v="26"/>
    <x v="2"/>
    <n v="557.69000000000005"/>
    <x v="0"/>
    <n v="0.22"/>
    <x v="2"/>
    <x v="1"/>
  </r>
  <r>
    <x v="9"/>
    <x v="3"/>
    <x v="2"/>
    <x v="115"/>
    <n v="22"/>
    <x v="3"/>
    <n v="3651.42"/>
    <x v="1"/>
    <n v="0.26"/>
    <x v="0"/>
    <x v="0"/>
  </r>
  <r>
    <x v="0"/>
    <x v="4"/>
    <x v="3"/>
    <x v="116"/>
    <n v="28"/>
    <x v="0"/>
    <n v="234.63"/>
    <x v="0"/>
    <n v="0.27"/>
    <x v="0"/>
    <x v="1"/>
  </r>
  <r>
    <x v="9"/>
    <x v="1"/>
    <x v="0"/>
    <x v="117"/>
    <n v="34"/>
    <x v="3"/>
    <n v="2289.27"/>
    <x v="1"/>
    <n v="7.0000000000000007E-2"/>
    <x v="0"/>
    <x v="1"/>
  </r>
  <r>
    <x v="9"/>
    <x v="0"/>
    <x v="2"/>
    <x v="118"/>
    <n v="18"/>
    <x v="0"/>
    <n v="3219.58"/>
    <x v="0"/>
    <n v="0.27"/>
    <x v="0"/>
    <x v="1"/>
  </r>
  <r>
    <x v="6"/>
    <x v="4"/>
    <x v="1"/>
    <x v="119"/>
    <n v="2"/>
    <x v="1"/>
    <n v="2904.06"/>
    <x v="0"/>
    <n v="0.15"/>
    <x v="0"/>
    <x v="0"/>
  </r>
  <r>
    <x v="9"/>
    <x v="1"/>
    <x v="2"/>
    <x v="120"/>
    <n v="43"/>
    <x v="2"/>
    <n v="2188.66"/>
    <x v="1"/>
    <n v="0.03"/>
    <x v="2"/>
    <x v="1"/>
  </r>
  <r>
    <x v="9"/>
    <x v="3"/>
    <x v="3"/>
    <x v="121"/>
    <n v="47"/>
    <x v="2"/>
    <n v="4641.41"/>
    <x v="0"/>
    <n v="0.27"/>
    <x v="2"/>
    <x v="1"/>
  </r>
  <r>
    <x v="9"/>
    <x v="2"/>
    <x v="2"/>
    <x v="122"/>
    <n v="16"/>
    <x v="0"/>
    <n v="167.12"/>
    <x v="0"/>
    <n v="0.04"/>
    <x v="2"/>
    <x v="1"/>
  </r>
  <r>
    <x v="10"/>
    <x v="4"/>
    <x v="3"/>
    <x v="123"/>
    <n v="16"/>
    <x v="3"/>
    <n v="487.03"/>
    <x v="0"/>
    <n v="0.22"/>
    <x v="0"/>
    <x v="1"/>
  </r>
  <r>
    <x v="9"/>
    <x v="1"/>
    <x v="0"/>
    <x v="124"/>
    <n v="46"/>
    <x v="3"/>
    <n v="2841.68"/>
    <x v="0"/>
    <n v="0.09"/>
    <x v="0"/>
    <x v="1"/>
  </r>
  <r>
    <x v="9"/>
    <x v="1"/>
    <x v="3"/>
    <x v="125"/>
    <n v="15"/>
    <x v="0"/>
    <n v="4261.1099999999997"/>
    <x v="1"/>
    <n v="0.05"/>
    <x v="2"/>
    <x v="1"/>
  </r>
  <r>
    <x v="9"/>
    <x v="2"/>
    <x v="1"/>
    <x v="126"/>
    <n v="3"/>
    <x v="0"/>
    <n v="1295.3699999999999"/>
    <x v="0"/>
    <n v="0.14000000000000001"/>
    <x v="1"/>
    <x v="1"/>
  </r>
  <r>
    <x v="9"/>
    <x v="2"/>
    <x v="3"/>
    <x v="127"/>
    <n v="48"/>
    <x v="0"/>
    <n v="851.349999999999"/>
    <x v="1"/>
    <n v="0.04"/>
    <x v="0"/>
    <x v="0"/>
  </r>
  <r>
    <x v="4"/>
    <x v="4"/>
    <x v="0"/>
    <x v="128"/>
    <n v="11"/>
    <x v="0"/>
    <n v="878.09"/>
    <x v="0"/>
    <n v="0.28999999999999998"/>
    <x v="1"/>
    <x v="1"/>
  </r>
  <r>
    <x v="9"/>
    <x v="3"/>
    <x v="2"/>
    <x v="129"/>
    <n v="42"/>
    <x v="3"/>
    <n v="4642.83"/>
    <x v="0"/>
    <n v="0.19"/>
    <x v="2"/>
    <x v="0"/>
  </r>
  <r>
    <x v="6"/>
    <x v="4"/>
    <x v="0"/>
    <x v="130"/>
    <n v="17"/>
    <x v="3"/>
    <n v="438.27"/>
    <x v="1"/>
    <n v="0.06"/>
    <x v="0"/>
    <x v="0"/>
  </r>
  <r>
    <x v="9"/>
    <x v="3"/>
    <x v="3"/>
    <x v="131"/>
    <n v="7"/>
    <x v="0"/>
    <n v="4358.78"/>
    <x v="1"/>
    <n v="0.26"/>
    <x v="0"/>
    <x v="1"/>
  </r>
  <r>
    <x v="9"/>
    <x v="4"/>
    <x v="3"/>
    <x v="132"/>
    <n v="3"/>
    <x v="3"/>
    <n v="3177.64"/>
    <x v="1"/>
    <n v="0.17"/>
    <x v="1"/>
    <x v="0"/>
  </r>
  <r>
    <x v="9"/>
    <x v="0"/>
    <x v="0"/>
    <x v="133"/>
    <n v="26"/>
    <x v="1"/>
    <n v="718.72"/>
    <x v="0"/>
    <n v="0.2"/>
    <x v="1"/>
    <x v="1"/>
  </r>
  <r>
    <x v="9"/>
    <x v="2"/>
    <x v="3"/>
    <x v="134"/>
    <n v="27"/>
    <x v="3"/>
    <n v="3572.61"/>
    <x v="1"/>
    <n v="0.08"/>
    <x v="2"/>
    <x v="0"/>
  </r>
  <r>
    <x v="9"/>
    <x v="0"/>
    <x v="2"/>
    <x v="135"/>
    <n v="17"/>
    <x v="3"/>
    <n v="624.71"/>
    <x v="0"/>
    <n v="0.14000000000000001"/>
    <x v="0"/>
    <x v="1"/>
  </r>
  <r>
    <x v="9"/>
    <x v="3"/>
    <x v="3"/>
    <x v="136"/>
    <n v="5"/>
    <x v="1"/>
    <n v="5191.0200000000004"/>
    <x v="0"/>
    <n v="0.3"/>
    <x v="0"/>
    <x v="0"/>
  </r>
  <r>
    <x v="10"/>
    <x v="4"/>
    <x v="0"/>
    <x v="137"/>
    <n v="9"/>
    <x v="0"/>
    <n v="1086.8899999999901"/>
    <x v="1"/>
    <n v="0.15"/>
    <x v="1"/>
    <x v="1"/>
  </r>
  <r>
    <x v="4"/>
    <x v="4"/>
    <x v="3"/>
    <x v="138"/>
    <n v="4"/>
    <x v="0"/>
    <n v="2976.0099999999902"/>
    <x v="1"/>
    <n v="0.28000000000000003"/>
    <x v="2"/>
    <x v="0"/>
  </r>
  <r>
    <x v="9"/>
    <x v="0"/>
    <x v="2"/>
    <x v="139"/>
    <n v="39"/>
    <x v="1"/>
    <n v="4345.25"/>
    <x v="1"/>
    <n v="0.12"/>
    <x v="0"/>
    <x v="0"/>
  </r>
  <r>
    <x v="9"/>
    <x v="2"/>
    <x v="2"/>
    <x v="140"/>
    <n v="5"/>
    <x v="2"/>
    <n v="4795.42"/>
    <x v="1"/>
    <n v="0.23"/>
    <x v="1"/>
    <x v="0"/>
  </r>
  <r>
    <x v="9"/>
    <x v="2"/>
    <x v="2"/>
    <x v="141"/>
    <n v="44"/>
    <x v="3"/>
    <n v="3578.49"/>
    <x v="1"/>
    <n v="0.12"/>
    <x v="1"/>
    <x v="0"/>
  </r>
  <r>
    <x v="9"/>
    <x v="1"/>
    <x v="1"/>
    <x v="142"/>
    <n v="31"/>
    <x v="1"/>
    <n v="3712.25"/>
    <x v="0"/>
    <n v="0.03"/>
    <x v="2"/>
    <x v="0"/>
  </r>
  <r>
    <x v="3"/>
    <x v="4"/>
    <x v="1"/>
    <x v="143"/>
    <n v="6"/>
    <x v="3"/>
    <n v="1687.5"/>
    <x v="1"/>
    <n v="0.12"/>
    <x v="2"/>
    <x v="0"/>
  </r>
  <r>
    <x v="9"/>
    <x v="0"/>
    <x v="2"/>
    <x v="144"/>
    <n v="43"/>
    <x v="0"/>
    <n v="2472.98"/>
    <x v="0"/>
    <n v="0.01"/>
    <x v="2"/>
    <x v="1"/>
  </r>
  <r>
    <x v="9"/>
    <x v="0"/>
    <x v="3"/>
    <x v="145"/>
    <n v="11"/>
    <x v="0"/>
    <n v="1942.55"/>
    <x v="0"/>
    <n v="0.17"/>
    <x v="2"/>
    <x v="1"/>
  </r>
  <r>
    <x v="9"/>
    <x v="1"/>
    <x v="1"/>
    <x v="146"/>
    <n v="16"/>
    <x v="0"/>
    <n v="4228.18"/>
    <x v="0"/>
    <n v="0.27"/>
    <x v="1"/>
    <x v="1"/>
  </r>
  <r>
    <x v="9"/>
    <x v="2"/>
    <x v="3"/>
    <x v="147"/>
    <n v="2"/>
    <x v="2"/>
    <n v="1094.92"/>
    <x v="0"/>
    <n v="0.24"/>
    <x v="1"/>
    <x v="1"/>
  </r>
  <r>
    <x v="9"/>
    <x v="2"/>
    <x v="1"/>
    <x v="148"/>
    <n v="26"/>
    <x v="1"/>
    <n v="4331.4299999999903"/>
    <x v="1"/>
    <n v="0.14000000000000001"/>
    <x v="2"/>
    <x v="1"/>
  </r>
  <r>
    <x v="10"/>
    <x v="4"/>
    <x v="0"/>
    <x v="149"/>
    <n v="30"/>
    <x v="2"/>
    <n v="371.4"/>
    <x v="1"/>
    <n v="0.2"/>
    <x v="0"/>
    <x v="1"/>
  </r>
  <r>
    <x v="9"/>
    <x v="0"/>
    <x v="1"/>
    <x v="150"/>
    <n v="31"/>
    <x v="2"/>
    <n v="3023.97"/>
    <x v="1"/>
    <n v="0.21"/>
    <x v="1"/>
    <x v="0"/>
  </r>
  <r>
    <x v="9"/>
    <x v="1"/>
    <x v="0"/>
    <x v="151"/>
    <n v="14"/>
    <x v="3"/>
    <n v="4068.43"/>
    <x v="0"/>
    <n v="0.22"/>
    <x v="2"/>
    <x v="0"/>
  </r>
  <r>
    <x v="9"/>
    <x v="2"/>
    <x v="1"/>
    <x v="152"/>
    <n v="29"/>
    <x v="1"/>
    <n v="675.91"/>
    <x v="1"/>
    <n v="0.1"/>
    <x v="1"/>
    <x v="1"/>
  </r>
  <r>
    <x v="9"/>
    <x v="3"/>
    <x v="1"/>
    <x v="153"/>
    <n v="14"/>
    <x v="1"/>
    <n v="884.51"/>
    <x v="0"/>
    <n v="0.12"/>
    <x v="0"/>
    <x v="0"/>
  </r>
  <r>
    <x v="9"/>
    <x v="0"/>
    <x v="2"/>
    <x v="154"/>
    <n v="37"/>
    <x v="1"/>
    <n v="1609.94"/>
    <x v="1"/>
    <n v="0.16"/>
    <x v="2"/>
    <x v="0"/>
  </r>
  <r>
    <x v="5"/>
    <x v="4"/>
    <x v="0"/>
    <x v="155"/>
    <n v="8"/>
    <x v="3"/>
    <n v="1191.9000000000001"/>
    <x v="0"/>
    <n v="0.03"/>
    <x v="1"/>
    <x v="1"/>
  </r>
  <r>
    <x v="10"/>
    <x v="4"/>
    <x v="0"/>
    <x v="156"/>
    <n v="29"/>
    <x v="0"/>
    <n v="565.62"/>
    <x v="1"/>
    <n v="0.3"/>
    <x v="1"/>
    <x v="0"/>
  </r>
  <r>
    <x v="9"/>
    <x v="2"/>
    <x v="1"/>
    <x v="157"/>
    <n v="23"/>
    <x v="1"/>
    <n v="2684.83"/>
    <x v="0"/>
    <n v="0.24"/>
    <x v="1"/>
    <x v="0"/>
  </r>
  <r>
    <x v="9"/>
    <x v="1"/>
    <x v="0"/>
    <x v="158"/>
    <n v="31"/>
    <x v="0"/>
    <n v="1266.25"/>
    <x v="1"/>
    <n v="0.14000000000000001"/>
    <x v="1"/>
    <x v="1"/>
  </r>
  <r>
    <x v="9"/>
    <x v="0"/>
    <x v="3"/>
    <x v="159"/>
    <n v="45"/>
    <x v="2"/>
    <n v="1485.34"/>
    <x v="0"/>
    <n v="0.25"/>
    <x v="2"/>
    <x v="1"/>
  </r>
  <r>
    <x v="9"/>
    <x v="1"/>
    <x v="1"/>
    <x v="160"/>
    <n v="31"/>
    <x v="1"/>
    <n v="2036.2"/>
    <x v="0"/>
    <n v="0.17"/>
    <x v="1"/>
    <x v="0"/>
  </r>
  <r>
    <x v="9"/>
    <x v="0"/>
    <x v="3"/>
    <x v="161"/>
    <n v="45"/>
    <x v="0"/>
    <n v="3781.4"/>
    <x v="1"/>
    <n v="0.27"/>
    <x v="2"/>
    <x v="0"/>
  </r>
  <r>
    <x v="9"/>
    <x v="1"/>
    <x v="3"/>
    <x v="162"/>
    <n v="20"/>
    <x v="1"/>
    <n v="2220.9"/>
    <x v="0"/>
    <n v="0.23"/>
    <x v="2"/>
    <x v="1"/>
  </r>
  <r>
    <x v="9"/>
    <x v="1"/>
    <x v="3"/>
    <x v="163"/>
    <n v="20"/>
    <x v="3"/>
    <n v="4003.5"/>
    <x v="0"/>
    <n v="0.01"/>
    <x v="2"/>
    <x v="1"/>
  </r>
  <r>
    <x v="9"/>
    <x v="1"/>
    <x v="1"/>
    <x v="164"/>
    <n v="45"/>
    <x v="1"/>
    <n v="5227.93"/>
    <x v="0"/>
    <n v="0.21"/>
    <x v="0"/>
    <x v="0"/>
  </r>
  <r>
    <x v="9"/>
    <x v="2"/>
    <x v="0"/>
    <x v="165"/>
    <n v="47"/>
    <x v="2"/>
    <n v="3557.38"/>
    <x v="0"/>
    <n v="0.2"/>
    <x v="2"/>
    <x v="0"/>
  </r>
  <r>
    <x v="9"/>
    <x v="1"/>
    <x v="3"/>
    <x v="166"/>
    <n v="27"/>
    <x v="1"/>
    <n v="4393.68"/>
    <x v="1"/>
    <n v="0.04"/>
    <x v="2"/>
    <x v="0"/>
  </r>
  <r>
    <x v="9"/>
    <x v="3"/>
    <x v="3"/>
    <x v="167"/>
    <n v="42"/>
    <x v="0"/>
    <n v="1424.1699999999901"/>
    <x v="0"/>
    <n v="0.1"/>
    <x v="1"/>
    <x v="0"/>
  </r>
  <r>
    <x v="9"/>
    <x v="3"/>
    <x v="3"/>
    <x v="168"/>
    <n v="1"/>
    <x v="0"/>
    <n v="1705.71"/>
    <x v="1"/>
    <n v="0.01"/>
    <x v="1"/>
    <x v="1"/>
  </r>
  <r>
    <x v="9"/>
    <x v="3"/>
    <x v="1"/>
    <x v="169"/>
    <n v="47"/>
    <x v="0"/>
    <n v="4076.96"/>
    <x v="1"/>
    <n v="0.17"/>
    <x v="1"/>
    <x v="1"/>
  </r>
  <r>
    <x v="9"/>
    <x v="0"/>
    <x v="3"/>
    <x v="170"/>
    <n v="22"/>
    <x v="1"/>
    <n v="2365.35"/>
    <x v="0"/>
    <n v="0.03"/>
    <x v="1"/>
    <x v="1"/>
  </r>
  <r>
    <x v="9"/>
    <x v="3"/>
    <x v="3"/>
    <x v="171"/>
    <n v="34"/>
    <x v="1"/>
    <n v="219.07999999999899"/>
    <x v="0"/>
    <n v="0.02"/>
    <x v="2"/>
    <x v="0"/>
  </r>
  <r>
    <x v="9"/>
    <x v="2"/>
    <x v="1"/>
    <x v="172"/>
    <n v="43"/>
    <x v="0"/>
    <n v="4272.92"/>
    <x v="0"/>
    <n v="0.27"/>
    <x v="2"/>
    <x v="0"/>
  </r>
  <r>
    <x v="9"/>
    <x v="2"/>
    <x v="2"/>
    <x v="173"/>
    <n v="7"/>
    <x v="0"/>
    <n v="686.25"/>
    <x v="1"/>
    <n v="0.04"/>
    <x v="1"/>
    <x v="0"/>
  </r>
  <r>
    <x v="2"/>
    <x v="4"/>
    <x v="0"/>
    <x v="174"/>
    <n v="42"/>
    <x v="2"/>
    <n v="350.38"/>
    <x v="1"/>
    <n v="0.19"/>
    <x v="2"/>
    <x v="1"/>
  </r>
  <r>
    <x v="4"/>
    <x v="2"/>
    <x v="1"/>
    <x v="175"/>
    <n v="13"/>
    <x v="1"/>
    <n v="692.71"/>
    <x v="0"/>
    <n v="0.08"/>
    <x v="2"/>
    <x v="0"/>
  </r>
  <r>
    <x v="4"/>
    <x v="3"/>
    <x v="0"/>
    <x v="176"/>
    <n v="15"/>
    <x v="3"/>
    <n v="2790.1"/>
    <x v="1"/>
    <n v="7.0000000000000007E-2"/>
    <x v="1"/>
    <x v="0"/>
  </r>
  <r>
    <x v="11"/>
    <x v="4"/>
    <x v="0"/>
    <x v="177"/>
    <n v="47"/>
    <x v="0"/>
    <n v="360.539999999999"/>
    <x v="0"/>
    <n v="0.28000000000000003"/>
    <x v="1"/>
    <x v="0"/>
  </r>
  <r>
    <x v="4"/>
    <x v="0"/>
    <x v="3"/>
    <x v="178"/>
    <n v="1"/>
    <x v="2"/>
    <n v="2637.91"/>
    <x v="1"/>
    <n v="0.2"/>
    <x v="2"/>
    <x v="0"/>
  </r>
  <r>
    <x v="4"/>
    <x v="1"/>
    <x v="1"/>
    <x v="179"/>
    <n v="37"/>
    <x v="1"/>
    <n v="3256.78"/>
    <x v="1"/>
    <n v="0.26"/>
    <x v="2"/>
    <x v="0"/>
  </r>
  <r>
    <x v="4"/>
    <x v="0"/>
    <x v="3"/>
    <x v="180"/>
    <n v="38"/>
    <x v="2"/>
    <n v="2836.94"/>
    <x v="1"/>
    <n v="0.19"/>
    <x v="2"/>
    <x v="0"/>
  </r>
  <r>
    <x v="4"/>
    <x v="2"/>
    <x v="1"/>
    <x v="181"/>
    <n v="13"/>
    <x v="3"/>
    <n v="2882.85"/>
    <x v="1"/>
    <n v="0.24"/>
    <x v="2"/>
    <x v="0"/>
  </r>
  <r>
    <x v="4"/>
    <x v="0"/>
    <x v="0"/>
    <x v="182"/>
    <n v="46"/>
    <x v="1"/>
    <n v="2338.66"/>
    <x v="1"/>
    <n v="0.19"/>
    <x v="0"/>
    <x v="1"/>
  </r>
  <r>
    <x v="7"/>
    <x v="4"/>
    <x v="3"/>
    <x v="183"/>
    <n v="11"/>
    <x v="1"/>
    <n v="1292.9399999999901"/>
    <x v="1"/>
    <n v="0.13"/>
    <x v="1"/>
    <x v="1"/>
  </r>
  <r>
    <x v="4"/>
    <x v="3"/>
    <x v="0"/>
    <x v="184"/>
    <n v="9"/>
    <x v="3"/>
    <n v="2755.56"/>
    <x v="1"/>
    <n v="0.13"/>
    <x v="2"/>
    <x v="1"/>
  </r>
  <r>
    <x v="4"/>
    <x v="3"/>
    <x v="3"/>
    <x v="185"/>
    <n v="47"/>
    <x v="1"/>
    <n v="3096.64"/>
    <x v="0"/>
    <n v="0.06"/>
    <x v="0"/>
    <x v="0"/>
  </r>
  <r>
    <x v="4"/>
    <x v="1"/>
    <x v="1"/>
    <x v="186"/>
    <n v="12"/>
    <x v="1"/>
    <n v="802.43"/>
    <x v="0"/>
    <n v="0.04"/>
    <x v="2"/>
    <x v="1"/>
  </r>
  <r>
    <x v="12"/>
    <x v="4"/>
    <x v="1"/>
    <x v="187"/>
    <n v="42"/>
    <x v="2"/>
    <n v="314.93"/>
    <x v="1"/>
    <n v="0.03"/>
    <x v="1"/>
    <x v="1"/>
  </r>
  <r>
    <x v="4"/>
    <x v="4"/>
    <x v="1"/>
    <x v="188"/>
    <n v="7"/>
    <x v="3"/>
    <n v="2394.1999999999998"/>
    <x v="0"/>
    <n v="0.22"/>
    <x v="0"/>
    <x v="0"/>
  </r>
  <r>
    <x v="4"/>
    <x v="1"/>
    <x v="2"/>
    <x v="189"/>
    <n v="12"/>
    <x v="3"/>
    <n v="683.78"/>
    <x v="0"/>
    <n v="0.25"/>
    <x v="2"/>
    <x v="0"/>
  </r>
  <r>
    <x v="4"/>
    <x v="1"/>
    <x v="2"/>
    <x v="190"/>
    <n v="48"/>
    <x v="3"/>
    <n v="2714.12"/>
    <x v="0"/>
    <n v="0.01"/>
    <x v="2"/>
    <x v="0"/>
  </r>
  <r>
    <x v="4"/>
    <x v="0"/>
    <x v="0"/>
    <x v="191"/>
    <n v="21"/>
    <x v="2"/>
    <n v="2848.3999999999901"/>
    <x v="1"/>
    <n v="0.06"/>
    <x v="0"/>
    <x v="0"/>
  </r>
  <r>
    <x v="4"/>
    <x v="3"/>
    <x v="0"/>
    <x v="192"/>
    <n v="15"/>
    <x v="1"/>
    <n v="3896.19"/>
    <x v="0"/>
    <n v="0.03"/>
    <x v="2"/>
    <x v="1"/>
  </r>
  <r>
    <x v="4"/>
    <x v="0"/>
    <x v="1"/>
    <x v="193"/>
    <n v="38"/>
    <x v="1"/>
    <n v="4152.72"/>
    <x v="1"/>
    <n v="0.26"/>
    <x v="1"/>
    <x v="0"/>
  </r>
  <r>
    <x v="2"/>
    <x v="4"/>
    <x v="2"/>
    <x v="194"/>
    <n v="21"/>
    <x v="3"/>
    <n v="820.36999999999898"/>
    <x v="1"/>
    <n v="0.24"/>
    <x v="0"/>
    <x v="0"/>
  </r>
  <r>
    <x v="4"/>
    <x v="3"/>
    <x v="3"/>
    <x v="195"/>
    <n v="14"/>
    <x v="3"/>
    <n v="753.81"/>
    <x v="1"/>
    <n v="0.19"/>
    <x v="1"/>
    <x v="1"/>
  </r>
  <r>
    <x v="4"/>
    <x v="1"/>
    <x v="3"/>
    <x v="196"/>
    <n v="49"/>
    <x v="0"/>
    <n v="2467.2800000000002"/>
    <x v="0"/>
    <n v="0.15"/>
    <x v="0"/>
    <x v="1"/>
  </r>
  <r>
    <x v="4"/>
    <x v="3"/>
    <x v="2"/>
    <x v="197"/>
    <n v="49"/>
    <x v="2"/>
    <n v="715.84"/>
    <x v="1"/>
    <n v="0.21"/>
    <x v="2"/>
    <x v="1"/>
  </r>
  <r>
    <x v="4"/>
    <x v="0"/>
    <x v="3"/>
    <x v="198"/>
    <n v="19"/>
    <x v="2"/>
    <n v="1931.56"/>
    <x v="1"/>
    <n v="0.27"/>
    <x v="0"/>
    <x v="1"/>
  </r>
  <r>
    <x v="4"/>
    <x v="2"/>
    <x v="2"/>
    <x v="199"/>
    <n v="7"/>
    <x v="3"/>
    <n v="632.43999999999903"/>
    <x v="0"/>
    <n v="0.2"/>
    <x v="0"/>
    <x v="0"/>
  </r>
  <r>
    <x v="4"/>
    <x v="3"/>
    <x v="1"/>
    <x v="200"/>
    <n v="28"/>
    <x v="1"/>
    <n v="3842.5499999999902"/>
    <x v="0"/>
    <n v="0.03"/>
    <x v="0"/>
    <x v="0"/>
  </r>
  <r>
    <x v="4"/>
    <x v="3"/>
    <x v="3"/>
    <x v="201"/>
    <n v="45"/>
    <x v="0"/>
    <n v="4087.91"/>
    <x v="1"/>
    <n v="0.06"/>
    <x v="0"/>
    <x v="0"/>
  </r>
  <r>
    <x v="2"/>
    <x v="4"/>
    <x v="0"/>
    <x v="202"/>
    <n v="32"/>
    <x v="0"/>
    <n v="517.17999999999995"/>
    <x v="1"/>
    <n v="0.2"/>
    <x v="2"/>
    <x v="1"/>
  </r>
  <r>
    <x v="2"/>
    <x v="4"/>
    <x v="0"/>
    <x v="203"/>
    <n v="23"/>
    <x v="1"/>
    <n v="822.39"/>
    <x v="1"/>
    <n v="0.28999999999999998"/>
    <x v="2"/>
    <x v="0"/>
  </r>
  <r>
    <x v="11"/>
    <x v="4"/>
    <x v="1"/>
    <x v="204"/>
    <n v="18"/>
    <x v="3"/>
    <n v="1024.31"/>
    <x v="1"/>
    <n v="0.26"/>
    <x v="1"/>
    <x v="0"/>
  </r>
  <r>
    <x v="4"/>
    <x v="0"/>
    <x v="2"/>
    <x v="205"/>
    <n v="6"/>
    <x v="1"/>
    <n v="4949.95"/>
    <x v="1"/>
    <n v="0.17"/>
    <x v="0"/>
    <x v="0"/>
  </r>
  <r>
    <x v="4"/>
    <x v="0"/>
    <x v="2"/>
    <x v="206"/>
    <n v="35"/>
    <x v="0"/>
    <n v="3181.22999999999"/>
    <x v="0"/>
    <n v="0.1"/>
    <x v="2"/>
    <x v="1"/>
  </r>
  <r>
    <x v="4"/>
    <x v="1"/>
    <x v="1"/>
    <x v="207"/>
    <n v="23"/>
    <x v="2"/>
    <n v="3742.12"/>
    <x v="0"/>
    <n v="0.03"/>
    <x v="0"/>
    <x v="1"/>
  </r>
  <r>
    <x v="4"/>
    <x v="0"/>
    <x v="3"/>
    <x v="208"/>
    <n v="14"/>
    <x v="3"/>
    <n v="831.13"/>
    <x v="1"/>
    <n v="0.17"/>
    <x v="0"/>
    <x v="1"/>
  </r>
  <r>
    <x v="4"/>
    <x v="0"/>
    <x v="2"/>
    <x v="209"/>
    <n v="48"/>
    <x v="0"/>
    <n v="2715.0499999999902"/>
    <x v="1"/>
    <n v="0.04"/>
    <x v="1"/>
    <x v="0"/>
  </r>
  <r>
    <x v="4"/>
    <x v="1"/>
    <x v="1"/>
    <x v="210"/>
    <n v="42"/>
    <x v="1"/>
    <n v="4382.3500000000004"/>
    <x v="0"/>
    <n v="0.25"/>
    <x v="1"/>
    <x v="1"/>
  </r>
  <r>
    <x v="3"/>
    <x v="4"/>
    <x v="0"/>
    <x v="211"/>
    <n v="8"/>
    <x v="2"/>
    <n v="1935.29"/>
    <x v="0"/>
    <n v="0.04"/>
    <x v="1"/>
    <x v="0"/>
  </r>
  <r>
    <x v="4"/>
    <x v="0"/>
    <x v="3"/>
    <x v="212"/>
    <n v="39"/>
    <x v="2"/>
    <n v="3603.02"/>
    <x v="1"/>
    <n v="0.26"/>
    <x v="1"/>
    <x v="0"/>
  </r>
  <r>
    <x v="4"/>
    <x v="3"/>
    <x v="1"/>
    <x v="213"/>
    <n v="29"/>
    <x v="0"/>
    <n v="2908.0899999999901"/>
    <x v="0"/>
    <n v="0.12"/>
    <x v="2"/>
    <x v="0"/>
  </r>
  <r>
    <x v="4"/>
    <x v="2"/>
    <x v="0"/>
    <x v="214"/>
    <n v="23"/>
    <x v="2"/>
    <n v="2864.45"/>
    <x v="1"/>
    <n v="0.18"/>
    <x v="2"/>
    <x v="1"/>
  </r>
  <r>
    <x v="1"/>
    <x v="4"/>
    <x v="0"/>
    <x v="215"/>
    <n v="15"/>
    <x v="3"/>
    <n v="1329.26"/>
    <x v="0"/>
    <n v="0.21"/>
    <x v="1"/>
    <x v="0"/>
  </r>
  <r>
    <x v="4"/>
    <x v="0"/>
    <x v="0"/>
    <x v="216"/>
    <n v="37"/>
    <x v="3"/>
    <n v="4495.88"/>
    <x v="1"/>
    <n v="0.01"/>
    <x v="0"/>
    <x v="0"/>
  </r>
  <r>
    <x v="4"/>
    <x v="3"/>
    <x v="0"/>
    <x v="217"/>
    <n v="18"/>
    <x v="2"/>
    <n v="3475.29"/>
    <x v="1"/>
    <n v="0.2"/>
    <x v="0"/>
    <x v="0"/>
  </r>
  <r>
    <x v="4"/>
    <x v="1"/>
    <x v="0"/>
    <x v="218"/>
    <n v="35"/>
    <x v="1"/>
    <n v="1624.8899999999901"/>
    <x v="0"/>
    <n v="0.08"/>
    <x v="2"/>
    <x v="0"/>
  </r>
  <r>
    <x v="4"/>
    <x v="1"/>
    <x v="1"/>
    <x v="219"/>
    <n v="24"/>
    <x v="2"/>
    <n v="3418.19"/>
    <x v="1"/>
    <n v="0.23"/>
    <x v="0"/>
    <x v="1"/>
  </r>
  <r>
    <x v="8"/>
    <x v="4"/>
    <x v="0"/>
    <x v="220"/>
    <n v="26"/>
    <x v="0"/>
    <n v="800.6"/>
    <x v="1"/>
    <n v="0.2"/>
    <x v="1"/>
    <x v="0"/>
  </r>
  <r>
    <x v="4"/>
    <x v="2"/>
    <x v="2"/>
    <x v="221"/>
    <n v="4"/>
    <x v="0"/>
    <n v="4280.0600000000004"/>
    <x v="1"/>
    <n v="0.18"/>
    <x v="0"/>
    <x v="0"/>
  </r>
  <r>
    <x v="4"/>
    <x v="3"/>
    <x v="0"/>
    <x v="222"/>
    <n v="11"/>
    <x v="3"/>
    <n v="2769.52"/>
    <x v="1"/>
    <n v="0.01"/>
    <x v="0"/>
    <x v="1"/>
  </r>
  <r>
    <x v="1"/>
    <x v="4"/>
    <x v="2"/>
    <x v="223"/>
    <n v="14"/>
    <x v="1"/>
    <n v="1514.61"/>
    <x v="0"/>
    <n v="0.2"/>
    <x v="2"/>
    <x v="1"/>
  </r>
  <r>
    <x v="4"/>
    <x v="0"/>
    <x v="1"/>
    <x v="224"/>
    <n v="49"/>
    <x v="0"/>
    <n v="1528.4"/>
    <x v="1"/>
    <n v="0.24"/>
    <x v="1"/>
    <x v="1"/>
  </r>
  <r>
    <x v="4"/>
    <x v="0"/>
    <x v="1"/>
    <x v="225"/>
    <n v="16"/>
    <x v="1"/>
    <n v="3625.35"/>
    <x v="1"/>
    <n v="0.05"/>
    <x v="2"/>
    <x v="1"/>
  </r>
  <r>
    <x v="4"/>
    <x v="2"/>
    <x v="0"/>
    <x v="226"/>
    <n v="10"/>
    <x v="3"/>
    <n v="4710.1000000000004"/>
    <x v="0"/>
    <n v="7.0000000000000007E-2"/>
    <x v="2"/>
    <x v="0"/>
  </r>
  <r>
    <x v="4"/>
    <x v="0"/>
    <x v="0"/>
    <x v="227"/>
    <n v="40"/>
    <x v="0"/>
    <n v="2598.4"/>
    <x v="1"/>
    <n v="0.18"/>
    <x v="2"/>
    <x v="1"/>
  </r>
  <r>
    <x v="4"/>
    <x v="2"/>
    <x v="1"/>
    <x v="228"/>
    <n v="12"/>
    <x v="3"/>
    <n v="5038.74"/>
    <x v="0"/>
    <n v="0.09"/>
    <x v="2"/>
    <x v="1"/>
  </r>
  <r>
    <x v="4"/>
    <x v="1"/>
    <x v="1"/>
    <x v="229"/>
    <n v="34"/>
    <x v="3"/>
    <n v="2771.02"/>
    <x v="0"/>
    <n v="0.2"/>
    <x v="0"/>
    <x v="0"/>
  </r>
  <r>
    <x v="4"/>
    <x v="0"/>
    <x v="1"/>
    <x v="230"/>
    <n v="32"/>
    <x v="3"/>
    <n v="3711.47"/>
    <x v="0"/>
    <n v="0.16"/>
    <x v="1"/>
    <x v="1"/>
  </r>
  <r>
    <x v="3"/>
    <x v="4"/>
    <x v="2"/>
    <x v="231"/>
    <n v="14"/>
    <x v="1"/>
    <n v="1271.45"/>
    <x v="1"/>
    <n v="0.03"/>
    <x v="0"/>
    <x v="1"/>
  </r>
  <r>
    <x v="4"/>
    <x v="4"/>
    <x v="1"/>
    <x v="232"/>
    <n v="14"/>
    <x v="0"/>
    <n v="1608.76"/>
    <x v="0"/>
    <n v="0.22"/>
    <x v="1"/>
    <x v="1"/>
  </r>
  <r>
    <x v="4"/>
    <x v="2"/>
    <x v="1"/>
    <x v="233"/>
    <n v="44"/>
    <x v="1"/>
    <n v="3391.46"/>
    <x v="0"/>
    <n v="0.05"/>
    <x v="2"/>
    <x v="1"/>
  </r>
  <r>
    <x v="4"/>
    <x v="3"/>
    <x v="1"/>
    <x v="234"/>
    <n v="2"/>
    <x v="0"/>
    <n v="5107.43"/>
    <x v="1"/>
    <n v="0.1"/>
    <x v="1"/>
    <x v="0"/>
  </r>
  <r>
    <x v="8"/>
    <x v="4"/>
    <x v="2"/>
    <x v="235"/>
    <n v="5"/>
    <x v="0"/>
    <n v="4096.4799999999996"/>
    <x v="1"/>
    <n v="0.13"/>
    <x v="1"/>
    <x v="1"/>
  </r>
  <r>
    <x v="0"/>
    <x v="4"/>
    <x v="1"/>
    <x v="236"/>
    <n v="5"/>
    <x v="2"/>
    <n v="4117.88"/>
    <x v="1"/>
    <n v="0.12"/>
    <x v="2"/>
    <x v="1"/>
  </r>
  <r>
    <x v="4"/>
    <x v="3"/>
    <x v="1"/>
    <x v="237"/>
    <n v="1"/>
    <x v="3"/>
    <n v="1862.61"/>
    <x v="1"/>
    <n v="0.24"/>
    <x v="1"/>
    <x v="1"/>
  </r>
  <r>
    <x v="4"/>
    <x v="1"/>
    <x v="2"/>
    <x v="238"/>
    <n v="20"/>
    <x v="1"/>
    <n v="4975.2299999999996"/>
    <x v="0"/>
    <n v="0.09"/>
    <x v="2"/>
    <x v="0"/>
  </r>
  <r>
    <x v="4"/>
    <x v="2"/>
    <x v="3"/>
    <x v="239"/>
    <n v="45"/>
    <x v="2"/>
    <n v="2321.87"/>
    <x v="0"/>
    <n v="0.18"/>
    <x v="0"/>
    <x v="1"/>
  </r>
  <r>
    <x v="4"/>
    <x v="3"/>
    <x v="1"/>
    <x v="240"/>
    <n v="19"/>
    <x v="1"/>
    <n v="5296.65"/>
    <x v="0"/>
    <n v="0.12"/>
    <x v="0"/>
    <x v="0"/>
  </r>
  <r>
    <x v="7"/>
    <x v="4"/>
    <x v="2"/>
    <x v="241"/>
    <n v="10"/>
    <x v="0"/>
    <n v="2044.04"/>
    <x v="0"/>
    <n v="0.11"/>
    <x v="1"/>
    <x v="0"/>
  </r>
  <r>
    <x v="4"/>
    <x v="3"/>
    <x v="2"/>
    <x v="242"/>
    <n v="20"/>
    <x v="1"/>
    <n v="3785.91"/>
    <x v="0"/>
    <n v="0.24"/>
    <x v="0"/>
    <x v="0"/>
  </r>
  <r>
    <x v="4"/>
    <x v="1"/>
    <x v="2"/>
    <x v="243"/>
    <n v="39"/>
    <x v="2"/>
    <n v="2658.06"/>
    <x v="0"/>
    <n v="0.19"/>
    <x v="2"/>
    <x v="1"/>
  </r>
  <r>
    <x v="4"/>
    <x v="1"/>
    <x v="0"/>
    <x v="244"/>
    <n v="49"/>
    <x v="2"/>
    <n v="1306.02"/>
    <x v="0"/>
    <n v="0.06"/>
    <x v="2"/>
    <x v="1"/>
  </r>
  <r>
    <x v="4"/>
    <x v="3"/>
    <x v="2"/>
    <x v="245"/>
    <n v="28"/>
    <x v="3"/>
    <n v="3892.73"/>
    <x v="1"/>
    <n v="0.1"/>
    <x v="1"/>
    <x v="1"/>
  </r>
  <r>
    <x v="4"/>
    <x v="0"/>
    <x v="0"/>
    <x v="246"/>
    <n v="40"/>
    <x v="2"/>
    <n v="3104.43"/>
    <x v="0"/>
    <n v="0.21"/>
    <x v="0"/>
    <x v="0"/>
  </r>
  <r>
    <x v="5"/>
    <x v="4"/>
    <x v="3"/>
    <x v="247"/>
    <n v="13"/>
    <x v="2"/>
    <n v="1538.79"/>
    <x v="1"/>
    <n v="0.09"/>
    <x v="0"/>
    <x v="1"/>
  </r>
  <r>
    <x v="4"/>
    <x v="0"/>
    <x v="0"/>
    <x v="248"/>
    <n v="43"/>
    <x v="0"/>
    <n v="1758.98"/>
    <x v="1"/>
    <n v="0.23"/>
    <x v="0"/>
    <x v="1"/>
  </r>
  <r>
    <x v="0"/>
    <x v="4"/>
    <x v="0"/>
    <x v="249"/>
    <n v="10"/>
    <x v="1"/>
    <n v="2282.23"/>
    <x v="1"/>
    <n v="0.2"/>
    <x v="2"/>
    <x v="0"/>
  </r>
  <r>
    <x v="0"/>
    <x v="4"/>
    <x v="2"/>
    <x v="250"/>
    <n v="20"/>
    <x v="0"/>
    <n v="1258.6299999999901"/>
    <x v="1"/>
    <n v="0.26"/>
    <x v="0"/>
    <x v="0"/>
  </r>
  <r>
    <x v="4"/>
    <x v="3"/>
    <x v="3"/>
    <x v="251"/>
    <n v="14"/>
    <x v="3"/>
    <n v="2075.35"/>
    <x v="1"/>
    <n v="0.1"/>
    <x v="2"/>
    <x v="1"/>
  </r>
  <r>
    <x v="4"/>
    <x v="0"/>
    <x v="1"/>
    <x v="252"/>
    <n v="17"/>
    <x v="1"/>
    <n v="1004.08"/>
    <x v="1"/>
    <n v="0.03"/>
    <x v="2"/>
    <x v="0"/>
  </r>
  <r>
    <x v="4"/>
    <x v="2"/>
    <x v="0"/>
    <x v="253"/>
    <n v="42"/>
    <x v="2"/>
    <n v="1669.94999999999"/>
    <x v="1"/>
    <n v="0.12"/>
    <x v="0"/>
    <x v="1"/>
  </r>
  <r>
    <x v="4"/>
    <x v="0"/>
    <x v="3"/>
    <x v="254"/>
    <n v="33"/>
    <x v="3"/>
    <n v="2661.54"/>
    <x v="0"/>
    <n v="0.18"/>
    <x v="0"/>
    <x v="0"/>
  </r>
  <r>
    <x v="6"/>
    <x v="3"/>
    <x v="3"/>
    <x v="255"/>
    <n v="17"/>
    <x v="0"/>
    <n v="4209.4399999999996"/>
    <x v="1"/>
    <n v="0.11"/>
    <x v="1"/>
    <x v="1"/>
  </r>
  <r>
    <x v="6"/>
    <x v="3"/>
    <x v="3"/>
    <x v="256"/>
    <n v="29"/>
    <x v="0"/>
    <n v="2624.09"/>
    <x v="1"/>
    <n v="0.14000000000000001"/>
    <x v="1"/>
    <x v="0"/>
  </r>
  <r>
    <x v="6"/>
    <x v="0"/>
    <x v="2"/>
    <x v="257"/>
    <n v="9"/>
    <x v="1"/>
    <n v="4439.12"/>
    <x v="0"/>
    <n v="0.18"/>
    <x v="0"/>
    <x v="0"/>
  </r>
  <r>
    <x v="6"/>
    <x v="1"/>
    <x v="2"/>
    <x v="258"/>
    <n v="33"/>
    <x v="0"/>
    <n v="1084.28"/>
    <x v="1"/>
    <n v="7.0000000000000007E-2"/>
    <x v="0"/>
    <x v="1"/>
  </r>
  <r>
    <x v="6"/>
    <x v="2"/>
    <x v="0"/>
    <x v="259"/>
    <n v="27"/>
    <x v="0"/>
    <n v="853.66"/>
    <x v="1"/>
    <n v="0.04"/>
    <x v="1"/>
    <x v="0"/>
  </r>
  <r>
    <x v="6"/>
    <x v="3"/>
    <x v="1"/>
    <x v="260"/>
    <n v="12"/>
    <x v="1"/>
    <n v="3723.66"/>
    <x v="1"/>
    <n v="0.19"/>
    <x v="1"/>
    <x v="0"/>
  </r>
  <r>
    <x v="6"/>
    <x v="1"/>
    <x v="2"/>
    <x v="261"/>
    <n v="33"/>
    <x v="3"/>
    <n v="2626.9"/>
    <x v="0"/>
    <n v="0.05"/>
    <x v="2"/>
    <x v="0"/>
  </r>
  <r>
    <x v="6"/>
    <x v="0"/>
    <x v="1"/>
    <x v="262"/>
    <n v="23"/>
    <x v="3"/>
    <n v="4488.37"/>
    <x v="0"/>
    <n v="0.12"/>
    <x v="2"/>
    <x v="0"/>
  </r>
  <r>
    <x v="6"/>
    <x v="1"/>
    <x v="0"/>
    <x v="263"/>
    <n v="38"/>
    <x v="2"/>
    <n v="2527"/>
    <x v="1"/>
    <n v="0.01"/>
    <x v="2"/>
    <x v="0"/>
  </r>
  <r>
    <x v="8"/>
    <x v="4"/>
    <x v="1"/>
    <x v="264"/>
    <n v="5"/>
    <x v="2"/>
    <n v="5129.1099999999997"/>
    <x v="0"/>
    <n v="0.25"/>
    <x v="0"/>
    <x v="0"/>
  </r>
  <r>
    <x v="6"/>
    <x v="0"/>
    <x v="1"/>
    <x v="265"/>
    <n v="43"/>
    <x v="0"/>
    <n v="531.02"/>
    <x v="0"/>
    <n v="0.17"/>
    <x v="1"/>
    <x v="0"/>
  </r>
  <r>
    <x v="6"/>
    <x v="1"/>
    <x v="3"/>
    <x v="266"/>
    <n v="3"/>
    <x v="3"/>
    <n v="3732"/>
    <x v="0"/>
    <n v="0.06"/>
    <x v="1"/>
    <x v="0"/>
  </r>
  <r>
    <x v="6"/>
    <x v="1"/>
    <x v="1"/>
    <x v="267"/>
    <n v="27"/>
    <x v="2"/>
    <n v="4990.33"/>
    <x v="1"/>
    <n v="0.28999999999999998"/>
    <x v="2"/>
    <x v="0"/>
  </r>
  <r>
    <x v="6"/>
    <x v="0"/>
    <x v="3"/>
    <x v="268"/>
    <n v="16"/>
    <x v="3"/>
    <n v="4321.04"/>
    <x v="1"/>
    <n v="0.23"/>
    <x v="2"/>
    <x v="1"/>
  </r>
  <r>
    <x v="6"/>
    <x v="0"/>
    <x v="2"/>
    <x v="269"/>
    <n v="47"/>
    <x v="3"/>
    <n v="733"/>
    <x v="1"/>
    <n v="0.2"/>
    <x v="0"/>
    <x v="1"/>
  </r>
  <r>
    <x v="6"/>
    <x v="1"/>
    <x v="3"/>
    <x v="270"/>
    <n v="23"/>
    <x v="1"/>
    <n v="3401.1"/>
    <x v="0"/>
    <n v="0.1"/>
    <x v="1"/>
    <x v="0"/>
  </r>
  <r>
    <x v="6"/>
    <x v="2"/>
    <x v="3"/>
    <x v="271"/>
    <n v="25"/>
    <x v="0"/>
    <n v="4446.45"/>
    <x v="1"/>
    <n v="0.09"/>
    <x v="0"/>
    <x v="0"/>
  </r>
  <r>
    <x v="6"/>
    <x v="3"/>
    <x v="2"/>
    <x v="272"/>
    <n v="48"/>
    <x v="2"/>
    <n v="2521.4499999999998"/>
    <x v="0"/>
    <n v="0.28999999999999998"/>
    <x v="1"/>
    <x v="0"/>
  </r>
  <r>
    <x v="4"/>
    <x v="4"/>
    <x v="1"/>
    <x v="273"/>
    <n v="10"/>
    <x v="0"/>
    <n v="1955.56"/>
    <x v="0"/>
    <n v="0"/>
    <x v="2"/>
    <x v="0"/>
  </r>
  <r>
    <x v="1"/>
    <x v="4"/>
    <x v="0"/>
    <x v="274"/>
    <n v="14"/>
    <x v="3"/>
    <n v="1882.79"/>
    <x v="0"/>
    <n v="0.25"/>
    <x v="2"/>
    <x v="1"/>
  </r>
  <r>
    <x v="6"/>
    <x v="2"/>
    <x v="1"/>
    <x v="275"/>
    <n v="29"/>
    <x v="0"/>
    <n v="1107.45"/>
    <x v="0"/>
    <n v="0.28999999999999998"/>
    <x v="1"/>
    <x v="1"/>
  </r>
  <r>
    <x v="2"/>
    <x v="4"/>
    <x v="3"/>
    <x v="276"/>
    <n v="31"/>
    <x v="2"/>
    <n v="685.1"/>
    <x v="0"/>
    <n v="0.04"/>
    <x v="0"/>
    <x v="0"/>
  </r>
  <r>
    <x v="6"/>
    <x v="2"/>
    <x v="3"/>
    <x v="277"/>
    <n v="44"/>
    <x v="1"/>
    <n v="1844.07"/>
    <x v="0"/>
    <n v="0.28999999999999998"/>
    <x v="2"/>
    <x v="0"/>
  </r>
  <r>
    <x v="6"/>
    <x v="0"/>
    <x v="3"/>
    <x v="278"/>
    <n v="12"/>
    <x v="2"/>
    <n v="3955.75"/>
    <x v="1"/>
    <n v="0.28000000000000003"/>
    <x v="1"/>
    <x v="1"/>
  </r>
  <r>
    <x v="6"/>
    <x v="3"/>
    <x v="2"/>
    <x v="279"/>
    <n v="21"/>
    <x v="2"/>
    <n v="971.57"/>
    <x v="1"/>
    <n v="0.14000000000000001"/>
    <x v="1"/>
    <x v="0"/>
  </r>
  <r>
    <x v="6"/>
    <x v="2"/>
    <x v="3"/>
    <x v="280"/>
    <n v="34"/>
    <x v="2"/>
    <n v="3740.13"/>
    <x v="1"/>
    <n v="0.01"/>
    <x v="2"/>
    <x v="0"/>
  </r>
  <r>
    <x v="6"/>
    <x v="1"/>
    <x v="3"/>
    <x v="281"/>
    <n v="42"/>
    <x v="2"/>
    <n v="2363.9"/>
    <x v="1"/>
    <n v="7.0000000000000007E-2"/>
    <x v="1"/>
    <x v="0"/>
  </r>
  <r>
    <x v="6"/>
    <x v="2"/>
    <x v="2"/>
    <x v="282"/>
    <n v="5"/>
    <x v="1"/>
    <n v="2482.34"/>
    <x v="1"/>
    <n v="0.22"/>
    <x v="2"/>
    <x v="1"/>
  </r>
  <r>
    <x v="6"/>
    <x v="2"/>
    <x v="1"/>
    <x v="283"/>
    <n v="44"/>
    <x v="1"/>
    <n v="1320.06"/>
    <x v="1"/>
    <n v="0.23"/>
    <x v="0"/>
    <x v="1"/>
  </r>
  <r>
    <x v="10"/>
    <x v="4"/>
    <x v="1"/>
    <x v="284"/>
    <n v="25"/>
    <x v="0"/>
    <n v="1103.03"/>
    <x v="0"/>
    <n v="0.26"/>
    <x v="0"/>
    <x v="1"/>
  </r>
  <r>
    <x v="6"/>
    <x v="3"/>
    <x v="1"/>
    <x v="285"/>
    <n v="4"/>
    <x v="2"/>
    <n v="2426.9899999999998"/>
    <x v="1"/>
    <n v="0.17"/>
    <x v="0"/>
    <x v="0"/>
  </r>
  <r>
    <x v="4"/>
    <x v="4"/>
    <x v="0"/>
    <x v="286"/>
    <n v="23"/>
    <x v="2"/>
    <n v="956.16"/>
    <x v="1"/>
    <n v="7.0000000000000007E-2"/>
    <x v="1"/>
    <x v="1"/>
  </r>
  <r>
    <x v="6"/>
    <x v="2"/>
    <x v="3"/>
    <x v="287"/>
    <n v="32"/>
    <x v="1"/>
    <n v="4116.38"/>
    <x v="1"/>
    <n v="0.11"/>
    <x v="1"/>
    <x v="0"/>
  </r>
  <r>
    <x v="6"/>
    <x v="3"/>
    <x v="3"/>
    <x v="288"/>
    <n v="3"/>
    <x v="2"/>
    <n v="1023.64"/>
    <x v="1"/>
    <n v="0.04"/>
    <x v="2"/>
    <x v="0"/>
  </r>
  <r>
    <x v="6"/>
    <x v="0"/>
    <x v="0"/>
    <x v="289"/>
    <n v="39"/>
    <x v="1"/>
    <n v="3746"/>
    <x v="1"/>
    <n v="0.25"/>
    <x v="0"/>
    <x v="1"/>
  </r>
  <r>
    <x v="6"/>
    <x v="1"/>
    <x v="2"/>
    <x v="290"/>
    <n v="34"/>
    <x v="2"/>
    <n v="4436.5"/>
    <x v="0"/>
    <n v="0.05"/>
    <x v="1"/>
    <x v="0"/>
  </r>
  <r>
    <x v="6"/>
    <x v="1"/>
    <x v="3"/>
    <x v="291"/>
    <n v="18"/>
    <x v="1"/>
    <n v="2483.87"/>
    <x v="1"/>
    <n v="0.08"/>
    <x v="1"/>
    <x v="0"/>
  </r>
  <r>
    <x v="6"/>
    <x v="3"/>
    <x v="0"/>
    <x v="292"/>
    <n v="10"/>
    <x v="1"/>
    <n v="3263.49"/>
    <x v="1"/>
    <n v="0.04"/>
    <x v="2"/>
    <x v="0"/>
  </r>
  <r>
    <x v="6"/>
    <x v="3"/>
    <x v="0"/>
    <x v="293"/>
    <n v="5"/>
    <x v="0"/>
    <n v="3409.93"/>
    <x v="0"/>
    <n v="0"/>
    <x v="1"/>
    <x v="0"/>
  </r>
  <r>
    <x v="6"/>
    <x v="2"/>
    <x v="0"/>
    <x v="294"/>
    <n v="32"/>
    <x v="3"/>
    <n v="3384.5"/>
    <x v="1"/>
    <n v="0.14000000000000001"/>
    <x v="1"/>
    <x v="1"/>
  </r>
  <r>
    <x v="6"/>
    <x v="1"/>
    <x v="0"/>
    <x v="295"/>
    <n v="33"/>
    <x v="0"/>
    <n v="4805.17"/>
    <x v="1"/>
    <n v="0.28000000000000003"/>
    <x v="0"/>
    <x v="0"/>
  </r>
  <r>
    <x v="6"/>
    <x v="0"/>
    <x v="2"/>
    <x v="296"/>
    <n v="5"/>
    <x v="1"/>
    <n v="3145.27"/>
    <x v="0"/>
    <n v="0.1"/>
    <x v="2"/>
    <x v="1"/>
  </r>
  <r>
    <x v="6"/>
    <x v="0"/>
    <x v="2"/>
    <x v="297"/>
    <n v="35"/>
    <x v="3"/>
    <n v="1059.82"/>
    <x v="1"/>
    <n v="0.28999999999999998"/>
    <x v="0"/>
    <x v="1"/>
  </r>
  <r>
    <x v="6"/>
    <x v="2"/>
    <x v="0"/>
    <x v="298"/>
    <n v="45"/>
    <x v="3"/>
    <n v="461.3"/>
    <x v="1"/>
    <n v="0.28000000000000003"/>
    <x v="1"/>
    <x v="0"/>
  </r>
  <r>
    <x v="6"/>
    <x v="0"/>
    <x v="3"/>
    <x v="299"/>
    <n v="17"/>
    <x v="0"/>
    <n v="2043.82"/>
    <x v="0"/>
    <n v="0.28999999999999998"/>
    <x v="1"/>
    <x v="1"/>
  </r>
  <r>
    <x v="3"/>
    <x v="4"/>
    <x v="2"/>
    <x v="300"/>
    <n v="36"/>
    <x v="0"/>
    <n v="682.24"/>
    <x v="0"/>
    <n v="0.16"/>
    <x v="0"/>
    <x v="1"/>
  </r>
  <r>
    <x v="6"/>
    <x v="0"/>
    <x v="2"/>
    <x v="301"/>
    <n v="47"/>
    <x v="1"/>
    <n v="498.46"/>
    <x v="0"/>
    <n v="0.06"/>
    <x v="1"/>
    <x v="1"/>
  </r>
  <r>
    <x v="6"/>
    <x v="2"/>
    <x v="2"/>
    <x v="302"/>
    <n v="40"/>
    <x v="1"/>
    <n v="2440.63"/>
    <x v="0"/>
    <n v="0.26"/>
    <x v="0"/>
    <x v="1"/>
  </r>
  <r>
    <x v="6"/>
    <x v="3"/>
    <x v="1"/>
    <x v="303"/>
    <n v="17"/>
    <x v="2"/>
    <n v="3186.15"/>
    <x v="0"/>
    <n v="0.24"/>
    <x v="0"/>
    <x v="1"/>
  </r>
  <r>
    <x v="6"/>
    <x v="0"/>
    <x v="1"/>
    <x v="304"/>
    <n v="25"/>
    <x v="1"/>
    <n v="1543.6899999999901"/>
    <x v="0"/>
    <n v="0.27"/>
    <x v="2"/>
    <x v="0"/>
  </r>
  <r>
    <x v="6"/>
    <x v="0"/>
    <x v="3"/>
    <x v="305"/>
    <n v="36"/>
    <x v="1"/>
    <n v="4387.01"/>
    <x v="0"/>
    <n v="7.0000000000000007E-2"/>
    <x v="0"/>
    <x v="1"/>
  </r>
  <r>
    <x v="8"/>
    <x v="4"/>
    <x v="1"/>
    <x v="306"/>
    <n v="14"/>
    <x v="0"/>
    <n v="1964.15"/>
    <x v="1"/>
    <n v="0.24"/>
    <x v="0"/>
    <x v="1"/>
  </r>
  <r>
    <x v="6"/>
    <x v="2"/>
    <x v="1"/>
    <x v="307"/>
    <n v="29"/>
    <x v="3"/>
    <n v="1611.92"/>
    <x v="0"/>
    <n v="0.15"/>
    <x v="1"/>
    <x v="1"/>
  </r>
  <r>
    <x v="6"/>
    <x v="1"/>
    <x v="0"/>
    <x v="308"/>
    <n v="9"/>
    <x v="1"/>
    <n v="1029.71"/>
    <x v="1"/>
    <n v="0.13"/>
    <x v="0"/>
    <x v="1"/>
  </r>
  <r>
    <x v="6"/>
    <x v="3"/>
    <x v="0"/>
    <x v="309"/>
    <n v="4"/>
    <x v="1"/>
    <n v="4288.3"/>
    <x v="0"/>
    <n v="0.13"/>
    <x v="2"/>
    <x v="0"/>
  </r>
  <r>
    <x v="6"/>
    <x v="1"/>
    <x v="0"/>
    <x v="310"/>
    <n v="2"/>
    <x v="2"/>
    <n v="2305.44"/>
    <x v="1"/>
    <n v="0.22"/>
    <x v="2"/>
    <x v="0"/>
  </r>
  <r>
    <x v="6"/>
    <x v="1"/>
    <x v="2"/>
    <x v="311"/>
    <n v="3"/>
    <x v="2"/>
    <n v="471.75"/>
    <x v="1"/>
    <n v="0.27"/>
    <x v="1"/>
    <x v="0"/>
  </r>
  <r>
    <x v="6"/>
    <x v="0"/>
    <x v="3"/>
    <x v="312"/>
    <n v="32"/>
    <x v="3"/>
    <n v="4460.71"/>
    <x v="1"/>
    <n v="0.3"/>
    <x v="1"/>
    <x v="1"/>
  </r>
  <r>
    <x v="6"/>
    <x v="2"/>
    <x v="1"/>
    <x v="313"/>
    <n v="13"/>
    <x v="3"/>
    <n v="4071.8199999999902"/>
    <x v="1"/>
    <n v="0.28999999999999998"/>
    <x v="0"/>
    <x v="0"/>
  </r>
  <r>
    <x v="6"/>
    <x v="0"/>
    <x v="2"/>
    <x v="314"/>
    <n v="42"/>
    <x v="0"/>
    <n v="1729.71"/>
    <x v="0"/>
    <n v="0.04"/>
    <x v="1"/>
    <x v="0"/>
  </r>
  <r>
    <x v="7"/>
    <x v="4"/>
    <x v="2"/>
    <x v="315"/>
    <n v="7"/>
    <x v="2"/>
    <n v="3163.7"/>
    <x v="1"/>
    <n v="0.05"/>
    <x v="1"/>
    <x v="1"/>
  </r>
  <r>
    <x v="6"/>
    <x v="1"/>
    <x v="1"/>
    <x v="316"/>
    <n v="24"/>
    <x v="3"/>
    <n v="3062.22"/>
    <x v="0"/>
    <n v="0.19"/>
    <x v="0"/>
    <x v="1"/>
  </r>
  <r>
    <x v="6"/>
    <x v="3"/>
    <x v="1"/>
    <x v="317"/>
    <n v="10"/>
    <x v="3"/>
    <n v="1636.14"/>
    <x v="0"/>
    <n v="0.2"/>
    <x v="0"/>
    <x v="0"/>
  </r>
  <r>
    <x v="9"/>
    <x v="4"/>
    <x v="1"/>
    <x v="318"/>
    <n v="13"/>
    <x v="3"/>
    <n v="1781.09"/>
    <x v="0"/>
    <n v="0.04"/>
    <x v="1"/>
    <x v="1"/>
  </r>
  <r>
    <x v="6"/>
    <x v="2"/>
    <x v="2"/>
    <x v="319"/>
    <n v="19"/>
    <x v="3"/>
    <n v="3218.8999999999901"/>
    <x v="0"/>
    <n v="0.28999999999999998"/>
    <x v="1"/>
    <x v="1"/>
  </r>
  <r>
    <x v="6"/>
    <x v="2"/>
    <x v="0"/>
    <x v="320"/>
    <n v="1"/>
    <x v="1"/>
    <n v="612.46"/>
    <x v="1"/>
    <n v="0.24"/>
    <x v="1"/>
    <x v="1"/>
  </r>
  <r>
    <x v="11"/>
    <x v="4"/>
    <x v="1"/>
    <x v="321"/>
    <n v="9"/>
    <x v="1"/>
    <n v="2558.9499999999998"/>
    <x v="0"/>
    <n v="0.03"/>
    <x v="1"/>
    <x v="0"/>
  </r>
  <r>
    <x v="6"/>
    <x v="2"/>
    <x v="1"/>
    <x v="322"/>
    <n v="9"/>
    <x v="2"/>
    <n v="2860.4199999999901"/>
    <x v="0"/>
    <n v="0.12"/>
    <x v="1"/>
    <x v="1"/>
  </r>
  <r>
    <x v="6"/>
    <x v="3"/>
    <x v="2"/>
    <x v="323"/>
    <n v="13"/>
    <x v="3"/>
    <n v="2045.53"/>
    <x v="1"/>
    <n v="0.28000000000000003"/>
    <x v="1"/>
    <x v="1"/>
  </r>
  <r>
    <x v="6"/>
    <x v="2"/>
    <x v="0"/>
    <x v="324"/>
    <n v="26"/>
    <x v="3"/>
    <n v="5079.6499999999996"/>
    <x v="0"/>
    <n v="0.28999999999999998"/>
    <x v="2"/>
    <x v="0"/>
  </r>
  <r>
    <x v="6"/>
    <x v="3"/>
    <x v="0"/>
    <x v="325"/>
    <n v="19"/>
    <x v="2"/>
    <n v="2462.34"/>
    <x v="0"/>
    <n v="7.0000000000000007E-2"/>
    <x v="0"/>
    <x v="1"/>
  </r>
  <r>
    <x v="6"/>
    <x v="2"/>
    <x v="3"/>
    <x v="326"/>
    <n v="7"/>
    <x v="1"/>
    <n v="2738.68"/>
    <x v="1"/>
    <n v="0.11"/>
    <x v="1"/>
    <x v="0"/>
  </r>
  <r>
    <x v="4"/>
    <x v="4"/>
    <x v="1"/>
    <x v="327"/>
    <n v="11"/>
    <x v="1"/>
    <n v="2600.9299999999998"/>
    <x v="0"/>
    <n v="0.21"/>
    <x v="0"/>
    <x v="1"/>
  </r>
  <r>
    <x v="6"/>
    <x v="2"/>
    <x v="0"/>
    <x v="328"/>
    <n v="24"/>
    <x v="0"/>
    <n v="4868.95"/>
    <x v="0"/>
    <n v="0.14000000000000001"/>
    <x v="2"/>
    <x v="1"/>
  </r>
  <r>
    <x v="6"/>
    <x v="1"/>
    <x v="1"/>
    <x v="329"/>
    <n v="7"/>
    <x v="2"/>
    <n v="2457.29"/>
    <x v="0"/>
    <n v="0.03"/>
    <x v="1"/>
    <x v="1"/>
  </r>
  <r>
    <x v="11"/>
    <x v="4"/>
    <x v="2"/>
    <x v="330"/>
    <n v="35"/>
    <x v="3"/>
    <n v="684.67"/>
    <x v="0"/>
    <n v="0.03"/>
    <x v="2"/>
    <x v="0"/>
  </r>
  <r>
    <x v="6"/>
    <x v="2"/>
    <x v="2"/>
    <x v="331"/>
    <n v="10"/>
    <x v="3"/>
    <n v="839.92"/>
    <x v="1"/>
    <n v="0.15"/>
    <x v="0"/>
    <x v="0"/>
  </r>
  <r>
    <x v="6"/>
    <x v="1"/>
    <x v="2"/>
    <x v="332"/>
    <n v="30"/>
    <x v="0"/>
    <n v="4794.0099999999902"/>
    <x v="0"/>
    <n v="0.18"/>
    <x v="0"/>
    <x v="1"/>
  </r>
  <r>
    <x v="6"/>
    <x v="1"/>
    <x v="0"/>
    <x v="333"/>
    <n v="31"/>
    <x v="3"/>
    <n v="3304.15"/>
    <x v="1"/>
    <n v="0.25"/>
    <x v="2"/>
    <x v="1"/>
  </r>
  <r>
    <x v="6"/>
    <x v="2"/>
    <x v="2"/>
    <x v="334"/>
    <n v="4"/>
    <x v="2"/>
    <n v="5442.15"/>
    <x v="1"/>
    <n v="0.28999999999999998"/>
    <x v="1"/>
    <x v="0"/>
  </r>
  <r>
    <x v="9"/>
    <x v="4"/>
    <x v="3"/>
    <x v="335"/>
    <n v="12"/>
    <x v="1"/>
    <n v="2494.48"/>
    <x v="1"/>
    <n v="0.22"/>
    <x v="0"/>
    <x v="0"/>
  </r>
  <r>
    <x v="9"/>
    <x v="4"/>
    <x v="3"/>
    <x v="336"/>
    <n v="35"/>
    <x v="2"/>
    <n v="812.91"/>
    <x v="0"/>
    <n v="0.16"/>
    <x v="0"/>
    <x v="0"/>
  </r>
  <r>
    <x v="5"/>
    <x v="1"/>
    <x v="3"/>
    <x v="337"/>
    <n v="1"/>
    <x v="0"/>
    <n v="3317.75"/>
    <x v="1"/>
    <n v="0.17"/>
    <x v="0"/>
    <x v="0"/>
  </r>
  <r>
    <x v="5"/>
    <x v="3"/>
    <x v="0"/>
    <x v="338"/>
    <n v="8"/>
    <x v="1"/>
    <n v="4417.79"/>
    <x v="1"/>
    <n v="0.04"/>
    <x v="1"/>
    <x v="0"/>
  </r>
  <r>
    <x v="5"/>
    <x v="2"/>
    <x v="3"/>
    <x v="339"/>
    <n v="31"/>
    <x v="1"/>
    <n v="3339.66"/>
    <x v="1"/>
    <n v="0.02"/>
    <x v="0"/>
    <x v="0"/>
  </r>
  <r>
    <x v="5"/>
    <x v="0"/>
    <x v="3"/>
    <x v="340"/>
    <n v="6"/>
    <x v="0"/>
    <n v="3206.98"/>
    <x v="1"/>
    <n v="0.06"/>
    <x v="0"/>
    <x v="1"/>
  </r>
  <r>
    <x v="5"/>
    <x v="1"/>
    <x v="0"/>
    <x v="341"/>
    <n v="45"/>
    <x v="2"/>
    <n v="4624.1000000000004"/>
    <x v="0"/>
    <n v="0.15"/>
    <x v="2"/>
    <x v="1"/>
  </r>
  <r>
    <x v="5"/>
    <x v="2"/>
    <x v="1"/>
    <x v="342"/>
    <n v="35"/>
    <x v="3"/>
    <n v="2384.38"/>
    <x v="1"/>
    <n v="0.09"/>
    <x v="0"/>
    <x v="1"/>
  </r>
  <r>
    <x v="5"/>
    <x v="3"/>
    <x v="3"/>
    <x v="343"/>
    <n v="39"/>
    <x v="2"/>
    <n v="3931.25"/>
    <x v="1"/>
    <n v="0.21"/>
    <x v="1"/>
    <x v="1"/>
  </r>
  <r>
    <x v="5"/>
    <x v="0"/>
    <x v="1"/>
    <x v="344"/>
    <n v="19"/>
    <x v="3"/>
    <n v="2180.83"/>
    <x v="1"/>
    <n v="0.17"/>
    <x v="2"/>
    <x v="1"/>
  </r>
  <r>
    <x v="5"/>
    <x v="3"/>
    <x v="0"/>
    <x v="345"/>
    <n v="36"/>
    <x v="3"/>
    <n v="4720.2700000000004"/>
    <x v="0"/>
    <n v="0.09"/>
    <x v="1"/>
    <x v="1"/>
  </r>
  <r>
    <x v="5"/>
    <x v="3"/>
    <x v="2"/>
    <x v="346"/>
    <n v="16"/>
    <x v="0"/>
    <n v="3397.36"/>
    <x v="0"/>
    <n v="0.2"/>
    <x v="0"/>
    <x v="1"/>
  </r>
  <r>
    <x v="5"/>
    <x v="0"/>
    <x v="0"/>
    <x v="347"/>
    <n v="26"/>
    <x v="3"/>
    <n v="1263.49"/>
    <x v="1"/>
    <n v="0.25"/>
    <x v="0"/>
    <x v="1"/>
  </r>
  <r>
    <x v="5"/>
    <x v="3"/>
    <x v="3"/>
    <x v="348"/>
    <n v="19"/>
    <x v="2"/>
    <n v="2504.0299999999902"/>
    <x v="0"/>
    <n v="0.01"/>
    <x v="0"/>
    <x v="0"/>
  </r>
  <r>
    <x v="5"/>
    <x v="1"/>
    <x v="2"/>
    <x v="349"/>
    <n v="24"/>
    <x v="3"/>
    <n v="3750.63"/>
    <x v="0"/>
    <n v="0.23"/>
    <x v="0"/>
    <x v="1"/>
  </r>
  <r>
    <x v="5"/>
    <x v="0"/>
    <x v="0"/>
    <x v="350"/>
    <n v="35"/>
    <x v="1"/>
    <n v="3244.76"/>
    <x v="0"/>
    <n v="0.05"/>
    <x v="0"/>
    <x v="0"/>
  </r>
  <r>
    <x v="1"/>
    <x v="4"/>
    <x v="1"/>
    <x v="351"/>
    <n v="7"/>
    <x v="3"/>
    <n v="4747.07"/>
    <x v="0"/>
    <n v="0.27"/>
    <x v="0"/>
    <x v="1"/>
  </r>
  <r>
    <x v="5"/>
    <x v="2"/>
    <x v="2"/>
    <x v="352"/>
    <n v="46"/>
    <x v="0"/>
    <n v="303.36"/>
    <x v="0"/>
    <n v="0.03"/>
    <x v="1"/>
    <x v="1"/>
  </r>
  <r>
    <x v="5"/>
    <x v="3"/>
    <x v="0"/>
    <x v="353"/>
    <n v="43"/>
    <x v="3"/>
    <n v="4713.68"/>
    <x v="1"/>
    <n v="0.24"/>
    <x v="0"/>
    <x v="0"/>
  </r>
  <r>
    <x v="5"/>
    <x v="3"/>
    <x v="0"/>
    <x v="354"/>
    <n v="28"/>
    <x v="1"/>
    <n v="1004.69999999999"/>
    <x v="1"/>
    <n v="0.18"/>
    <x v="0"/>
    <x v="0"/>
  </r>
  <r>
    <x v="11"/>
    <x v="4"/>
    <x v="1"/>
    <x v="355"/>
    <n v="8"/>
    <x v="2"/>
    <n v="3198.54"/>
    <x v="1"/>
    <n v="0.03"/>
    <x v="0"/>
    <x v="0"/>
  </r>
  <r>
    <x v="5"/>
    <x v="1"/>
    <x v="2"/>
    <x v="356"/>
    <n v="37"/>
    <x v="1"/>
    <n v="4172.3499999999904"/>
    <x v="1"/>
    <n v="0.06"/>
    <x v="1"/>
    <x v="1"/>
  </r>
  <r>
    <x v="5"/>
    <x v="0"/>
    <x v="3"/>
    <x v="357"/>
    <n v="40"/>
    <x v="0"/>
    <n v="3945.82"/>
    <x v="0"/>
    <n v="0.24"/>
    <x v="0"/>
    <x v="0"/>
  </r>
  <r>
    <x v="2"/>
    <x v="4"/>
    <x v="1"/>
    <x v="358"/>
    <n v="8"/>
    <x v="2"/>
    <n v="4177.0600000000004"/>
    <x v="1"/>
    <n v="0.25"/>
    <x v="0"/>
    <x v="1"/>
  </r>
  <r>
    <x v="5"/>
    <x v="0"/>
    <x v="2"/>
    <x v="359"/>
    <n v="40"/>
    <x v="0"/>
    <n v="1111.4100000000001"/>
    <x v="0"/>
    <n v="0.23"/>
    <x v="0"/>
    <x v="0"/>
  </r>
  <r>
    <x v="6"/>
    <x v="4"/>
    <x v="0"/>
    <x v="360"/>
    <n v="6"/>
    <x v="0"/>
    <n v="4879.72"/>
    <x v="0"/>
    <n v="0.13"/>
    <x v="2"/>
    <x v="0"/>
  </r>
  <r>
    <x v="5"/>
    <x v="3"/>
    <x v="1"/>
    <x v="361"/>
    <n v="17"/>
    <x v="0"/>
    <n v="764.54"/>
    <x v="1"/>
    <n v="0.17"/>
    <x v="2"/>
    <x v="1"/>
  </r>
  <r>
    <x v="5"/>
    <x v="1"/>
    <x v="0"/>
    <x v="362"/>
    <n v="47"/>
    <x v="3"/>
    <n v="1750.3799999999901"/>
    <x v="0"/>
    <n v="0.21"/>
    <x v="2"/>
    <x v="0"/>
  </r>
  <r>
    <x v="5"/>
    <x v="1"/>
    <x v="2"/>
    <x v="363"/>
    <n v="6"/>
    <x v="0"/>
    <n v="4102.72"/>
    <x v="0"/>
    <n v="0.11"/>
    <x v="2"/>
    <x v="1"/>
  </r>
  <r>
    <x v="5"/>
    <x v="2"/>
    <x v="3"/>
    <x v="364"/>
    <n v="26"/>
    <x v="3"/>
    <n v="2291.17"/>
    <x v="1"/>
    <n v="0.28000000000000003"/>
    <x v="1"/>
    <x v="0"/>
  </r>
  <r>
    <x v="5"/>
    <x v="0"/>
    <x v="0"/>
    <x v="365"/>
    <n v="13"/>
    <x v="2"/>
    <n v="3202.68"/>
    <x v="0"/>
    <n v="0.09"/>
    <x v="1"/>
    <x v="0"/>
  </r>
  <r>
    <x v="5"/>
    <x v="3"/>
    <x v="0"/>
    <x v="366"/>
    <n v="20"/>
    <x v="3"/>
    <n v="2774.86"/>
    <x v="0"/>
    <n v="0.27"/>
    <x v="2"/>
    <x v="1"/>
  </r>
  <r>
    <x v="5"/>
    <x v="1"/>
    <x v="0"/>
    <x v="367"/>
    <n v="48"/>
    <x v="2"/>
    <n v="3693.45"/>
    <x v="1"/>
    <n v="0.19"/>
    <x v="0"/>
    <x v="0"/>
  </r>
  <r>
    <x v="2"/>
    <x v="4"/>
    <x v="3"/>
    <x v="368"/>
    <n v="8"/>
    <x v="3"/>
    <n v="3817.99"/>
    <x v="1"/>
    <n v="0.15"/>
    <x v="1"/>
    <x v="1"/>
  </r>
  <r>
    <x v="5"/>
    <x v="2"/>
    <x v="3"/>
    <x v="369"/>
    <n v="44"/>
    <x v="1"/>
    <n v="1420.9"/>
    <x v="1"/>
    <n v="0.05"/>
    <x v="2"/>
    <x v="0"/>
  </r>
  <r>
    <x v="5"/>
    <x v="2"/>
    <x v="2"/>
    <x v="370"/>
    <n v="32"/>
    <x v="2"/>
    <n v="2307.64"/>
    <x v="1"/>
    <n v="0.22"/>
    <x v="0"/>
    <x v="0"/>
  </r>
  <r>
    <x v="5"/>
    <x v="3"/>
    <x v="1"/>
    <x v="371"/>
    <n v="1"/>
    <x v="1"/>
    <n v="1535.57"/>
    <x v="0"/>
    <n v="0.08"/>
    <x v="2"/>
    <x v="1"/>
  </r>
  <r>
    <x v="5"/>
    <x v="2"/>
    <x v="3"/>
    <x v="372"/>
    <n v="20"/>
    <x v="3"/>
    <n v="3452.14"/>
    <x v="0"/>
    <n v="0.17"/>
    <x v="2"/>
    <x v="1"/>
  </r>
  <r>
    <x v="5"/>
    <x v="2"/>
    <x v="3"/>
    <x v="373"/>
    <n v="10"/>
    <x v="1"/>
    <n v="4240.2299999999996"/>
    <x v="0"/>
    <n v="0.05"/>
    <x v="2"/>
    <x v="0"/>
  </r>
  <r>
    <x v="5"/>
    <x v="1"/>
    <x v="2"/>
    <x v="374"/>
    <n v="34"/>
    <x v="0"/>
    <n v="4100.3999999999996"/>
    <x v="1"/>
    <n v="0.05"/>
    <x v="0"/>
    <x v="1"/>
  </r>
  <r>
    <x v="8"/>
    <x v="4"/>
    <x v="0"/>
    <x v="375"/>
    <n v="12"/>
    <x v="1"/>
    <n v="2525.27"/>
    <x v="1"/>
    <n v="0.12"/>
    <x v="2"/>
    <x v="1"/>
  </r>
  <r>
    <x v="5"/>
    <x v="2"/>
    <x v="0"/>
    <x v="376"/>
    <n v="14"/>
    <x v="0"/>
    <n v="3947.5"/>
    <x v="1"/>
    <n v="0.24"/>
    <x v="0"/>
    <x v="0"/>
  </r>
  <r>
    <x v="3"/>
    <x v="4"/>
    <x v="3"/>
    <x v="377"/>
    <n v="39"/>
    <x v="3"/>
    <n v="934.04"/>
    <x v="0"/>
    <n v="0.26"/>
    <x v="0"/>
    <x v="1"/>
  </r>
  <r>
    <x v="0"/>
    <x v="4"/>
    <x v="3"/>
    <x v="378"/>
    <n v="12"/>
    <x v="0"/>
    <n v="2476.8000000000002"/>
    <x v="0"/>
    <n v="0.09"/>
    <x v="1"/>
    <x v="1"/>
  </r>
  <r>
    <x v="5"/>
    <x v="0"/>
    <x v="1"/>
    <x v="379"/>
    <n v="8"/>
    <x v="3"/>
    <n v="803.87"/>
    <x v="0"/>
    <n v="0.18"/>
    <x v="1"/>
    <x v="1"/>
  </r>
  <r>
    <x v="5"/>
    <x v="1"/>
    <x v="2"/>
    <x v="380"/>
    <n v="30"/>
    <x v="1"/>
    <n v="477.67999999999898"/>
    <x v="0"/>
    <n v="0.11"/>
    <x v="0"/>
    <x v="1"/>
  </r>
  <r>
    <x v="5"/>
    <x v="3"/>
    <x v="3"/>
    <x v="381"/>
    <n v="29"/>
    <x v="2"/>
    <n v="3607.15"/>
    <x v="1"/>
    <n v="0.21"/>
    <x v="1"/>
    <x v="1"/>
  </r>
  <r>
    <x v="5"/>
    <x v="1"/>
    <x v="2"/>
    <x v="382"/>
    <n v="36"/>
    <x v="2"/>
    <n v="4432.3499999999904"/>
    <x v="0"/>
    <n v="0.14000000000000001"/>
    <x v="1"/>
    <x v="0"/>
  </r>
  <r>
    <x v="5"/>
    <x v="3"/>
    <x v="2"/>
    <x v="383"/>
    <n v="36"/>
    <x v="2"/>
    <n v="4647.87"/>
    <x v="0"/>
    <n v="0.04"/>
    <x v="0"/>
    <x v="0"/>
  </r>
  <r>
    <x v="3"/>
    <x v="4"/>
    <x v="1"/>
    <x v="384"/>
    <n v="8"/>
    <x v="0"/>
    <n v="3657.23"/>
    <x v="1"/>
    <n v="0.03"/>
    <x v="0"/>
    <x v="0"/>
  </r>
  <r>
    <x v="5"/>
    <x v="3"/>
    <x v="1"/>
    <x v="385"/>
    <n v="19"/>
    <x v="3"/>
    <n v="3544.02"/>
    <x v="1"/>
    <n v="0.14000000000000001"/>
    <x v="1"/>
    <x v="0"/>
  </r>
  <r>
    <x v="7"/>
    <x v="4"/>
    <x v="0"/>
    <x v="386"/>
    <n v="14"/>
    <x v="3"/>
    <n v="2605.3599999999901"/>
    <x v="1"/>
    <n v="0.2"/>
    <x v="2"/>
    <x v="1"/>
  </r>
  <r>
    <x v="5"/>
    <x v="3"/>
    <x v="2"/>
    <x v="387"/>
    <n v="16"/>
    <x v="2"/>
    <n v="3799.67"/>
    <x v="1"/>
    <n v="0.01"/>
    <x v="1"/>
    <x v="1"/>
  </r>
  <r>
    <x v="5"/>
    <x v="1"/>
    <x v="1"/>
    <x v="388"/>
    <n v="28"/>
    <x v="0"/>
    <n v="4205.37"/>
    <x v="0"/>
    <n v="0.09"/>
    <x v="2"/>
    <x v="0"/>
  </r>
  <r>
    <x v="5"/>
    <x v="0"/>
    <x v="2"/>
    <x v="389"/>
    <n v="2"/>
    <x v="3"/>
    <n v="1448.54"/>
    <x v="1"/>
    <n v="0.02"/>
    <x v="0"/>
    <x v="1"/>
  </r>
  <r>
    <x v="5"/>
    <x v="1"/>
    <x v="3"/>
    <x v="390"/>
    <n v="37"/>
    <x v="0"/>
    <n v="687.6"/>
    <x v="1"/>
    <n v="0.21"/>
    <x v="1"/>
    <x v="0"/>
  </r>
  <r>
    <x v="5"/>
    <x v="3"/>
    <x v="2"/>
    <x v="391"/>
    <n v="45"/>
    <x v="0"/>
    <n v="586.17999999999995"/>
    <x v="1"/>
    <n v="0.28000000000000003"/>
    <x v="2"/>
    <x v="1"/>
  </r>
  <r>
    <x v="5"/>
    <x v="3"/>
    <x v="3"/>
    <x v="392"/>
    <n v="25"/>
    <x v="2"/>
    <n v="2626.02"/>
    <x v="0"/>
    <n v="0.08"/>
    <x v="0"/>
    <x v="0"/>
  </r>
  <r>
    <x v="5"/>
    <x v="0"/>
    <x v="1"/>
    <x v="393"/>
    <n v="39"/>
    <x v="3"/>
    <n v="457.84"/>
    <x v="0"/>
    <n v="0.03"/>
    <x v="2"/>
    <x v="0"/>
  </r>
  <r>
    <x v="5"/>
    <x v="3"/>
    <x v="1"/>
    <x v="394"/>
    <n v="36"/>
    <x v="3"/>
    <n v="4386.82"/>
    <x v="1"/>
    <n v="0.23"/>
    <x v="2"/>
    <x v="0"/>
  </r>
  <r>
    <x v="5"/>
    <x v="0"/>
    <x v="0"/>
    <x v="395"/>
    <n v="22"/>
    <x v="1"/>
    <n v="4820.2999999999902"/>
    <x v="0"/>
    <n v="0.04"/>
    <x v="1"/>
    <x v="0"/>
  </r>
  <r>
    <x v="2"/>
    <x v="4"/>
    <x v="1"/>
    <x v="396"/>
    <n v="20"/>
    <x v="1"/>
    <n v="1649.73999999999"/>
    <x v="1"/>
    <n v="0.1"/>
    <x v="0"/>
    <x v="0"/>
  </r>
  <r>
    <x v="5"/>
    <x v="0"/>
    <x v="3"/>
    <x v="397"/>
    <n v="2"/>
    <x v="2"/>
    <n v="3503.11"/>
    <x v="0"/>
    <n v="0.2"/>
    <x v="0"/>
    <x v="1"/>
  </r>
  <r>
    <x v="5"/>
    <x v="3"/>
    <x v="1"/>
    <x v="398"/>
    <n v="20"/>
    <x v="2"/>
    <n v="803.49"/>
    <x v="0"/>
    <n v="0.21"/>
    <x v="0"/>
    <x v="0"/>
  </r>
  <r>
    <x v="5"/>
    <x v="3"/>
    <x v="2"/>
    <x v="399"/>
    <n v="11"/>
    <x v="2"/>
    <n v="4925.17"/>
    <x v="0"/>
    <n v="0.23"/>
    <x v="1"/>
    <x v="1"/>
  </r>
  <r>
    <x v="5"/>
    <x v="1"/>
    <x v="1"/>
    <x v="400"/>
    <n v="32"/>
    <x v="0"/>
    <n v="1065.55"/>
    <x v="1"/>
    <n v="0.22"/>
    <x v="0"/>
    <x v="1"/>
  </r>
  <r>
    <x v="5"/>
    <x v="3"/>
    <x v="2"/>
    <x v="401"/>
    <n v="49"/>
    <x v="0"/>
    <n v="2644.54"/>
    <x v="1"/>
    <n v="0.11"/>
    <x v="1"/>
    <x v="0"/>
  </r>
  <r>
    <x v="5"/>
    <x v="3"/>
    <x v="0"/>
    <x v="402"/>
    <n v="41"/>
    <x v="0"/>
    <n v="3193.92"/>
    <x v="0"/>
    <n v="0.28000000000000003"/>
    <x v="0"/>
    <x v="1"/>
  </r>
  <r>
    <x v="2"/>
    <x v="4"/>
    <x v="0"/>
    <x v="403"/>
    <n v="10"/>
    <x v="3"/>
    <n v="3387.21"/>
    <x v="1"/>
    <n v="0.12"/>
    <x v="1"/>
    <x v="1"/>
  </r>
  <r>
    <x v="2"/>
    <x v="4"/>
    <x v="2"/>
    <x v="404"/>
    <n v="34"/>
    <x v="2"/>
    <n v="1040.21"/>
    <x v="0"/>
    <n v="0.12"/>
    <x v="2"/>
    <x v="1"/>
  </r>
  <r>
    <x v="5"/>
    <x v="1"/>
    <x v="0"/>
    <x v="405"/>
    <n v="7"/>
    <x v="1"/>
    <n v="4576.5"/>
    <x v="0"/>
    <n v="0.3"/>
    <x v="1"/>
    <x v="1"/>
  </r>
  <r>
    <x v="5"/>
    <x v="0"/>
    <x v="2"/>
    <x v="406"/>
    <n v="44"/>
    <x v="0"/>
    <n v="1533.09"/>
    <x v="1"/>
    <n v="0.24"/>
    <x v="2"/>
    <x v="1"/>
  </r>
  <r>
    <x v="5"/>
    <x v="2"/>
    <x v="2"/>
    <x v="407"/>
    <n v="26"/>
    <x v="1"/>
    <n v="3824.1"/>
    <x v="0"/>
    <n v="0.19"/>
    <x v="2"/>
    <x v="0"/>
  </r>
  <r>
    <x v="11"/>
    <x v="4"/>
    <x v="0"/>
    <x v="408"/>
    <n v="30"/>
    <x v="0"/>
    <n v="1095.44999999999"/>
    <x v="0"/>
    <n v="0.05"/>
    <x v="0"/>
    <x v="0"/>
  </r>
  <r>
    <x v="3"/>
    <x v="4"/>
    <x v="0"/>
    <x v="409"/>
    <n v="17"/>
    <x v="3"/>
    <n v="2185.42"/>
    <x v="1"/>
    <n v="0.15"/>
    <x v="2"/>
    <x v="1"/>
  </r>
  <r>
    <x v="11"/>
    <x v="0"/>
    <x v="0"/>
    <x v="410"/>
    <n v="39"/>
    <x v="1"/>
    <n v="2778.3999999999901"/>
    <x v="1"/>
    <n v="0.05"/>
    <x v="1"/>
    <x v="0"/>
  </r>
  <r>
    <x v="11"/>
    <x v="3"/>
    <x v="0"/>
    <x v="411"/>
    <n v="21"/>
    <x v="0"/>
    <n v="5040.22"/>
    <x v="0"/>
    <n v="0.05"/>
    <x v="0"/>
    <x v="0"/>
  </r>
  <r>
    <x v="11"/>
    <x v="1"/>
    <x v="3"/>
    <x v="412"/>
    <n v="2"/>
    <x v="1"/>
    <n v="2977.52"/>
    <x v="1"/>
    <n v="0.11"/>
    <x v="2"/>
    <x v="1"/>
  </r>
  <r>
    <x v="11"/>
    <x v="0"/>
    <x v="2"/>
    <x v="413"/>
    <n v="28"/>
    <x v="3"/>
    <n v="1043.45"/>
    <x v="0"/>
    <n v="0.15"/>
    <x v="0"/>
    <x v="1"/>
  </r>
  <r>
    <x v="11"/>
    <x v="2"/>
    <x v="2"/>
    <x v="414"/>
    <n v="6"/>
    <x v="0"/>
    <n v="2742.97"/>
    <x v="1"/>
    <n v="0.25"/>
    <x v="2"/>
    <x v="1"/>
  </r>
  <r>
    <x v="11"/>
    <x v="1"/>
    <x v="0"/>
    <x v="415"/>
    <n v="38"/>
    <x v="0"/>
    <n v="4642.46"/>
    <x v="0"/>
    <n v="0.06"/>
    <x v="0"/>
    <x v="0"/>
  </r>
  <r>
    <x v="11"/>
    <x v="0"/>
    <x v="1"/>
    <x v="416"/>
    <n v="9"/>
    <x v="3"/>
    <n v="4273.6000000000004"/>
    <x v="1"/>
    <n v="0.25"/>
    <x v="1"/>
    <x v="1"/>
  </r>
  <r>
    <x v="11"/>
    <x v="3"/>
    <x v="1"/>
    <x v="417"/>
    <n v="3"/>
    <x v="1"/>
    <n v="1625.70999999999"/>
    <x v="0"/>
    <n v="0.27"/>
    <x v="1"/>
    <x v="0"/>
  </r>
  <r>
    <x v="11"/>
    <x v="2"/>
    <x v="2"/>
    <x v="418"/>
    <n v="41"/>
    <x v="3"/>
    <n v="3946.77"/>
    <x v="1"/>
    <n v="0.06"/>
    <x v="2"/>
    <x v="0"/>
  </r>
  <r>
    <x v="9"/>
    <x v="4"/>
    <x v="3"/>
    <x v="419"/>
    <n v="27"/>
    <x v="3"/>
    <n v="1286.92"/>
    <x v="1"/>
    <n v="7.0000000000000007E-2"/>
    <x v="2"/>
    <x v="1"/>
  </r>
  <r>
    <x v="11"/>
    <x v="3"/>
    <x v="2"/>
    <x v="420"/>
    <n v="20"/>
    <x v="2"/>
    <n v="3565.58"/>
    <x v="1"/>
    <n v="0.3"/>
    <x v="2"/>
    <x v="1"/>
  </r>
  <r>
    <x v="11"/>
    <x v="0"/>
    <x v="3"/>
    <x v="421"/>
    <n v="49"/>
    <x v="1"/>
    <n v="5088"/>
    <x v="1"/>
    <n v="0.09"/>
    <x v="2"/>
    <x v="0"/>
  </r>
  <r>
    <x v="11"/>
    <x v="3"/>
    <x v="0"/>
    <x v="422"/>
    <n v="15"/>
    <x v="1"/>
    <n v="799.04"/>
    <x v="0"/>
    <n v="0"/>
    <x v="0"/>
    <x v="0"/>
  </r>
  <r>
    <x v="11"/>
    <x v="3"/>
    <x v="1"/>
    <x v="423"/>
    <n v="21"/>
    <x v="1"/>
    <n v="2193.2199999999998"/>
    <x v="0"/>
    <n v="0.22"/>
    <x v="0"/>
    <x v="1"/>
  </r>
  <r>
    <x v="11"/>
    <x v="0"/>
    <x v="2"/>
    <x v="424"/>
    <n v="49"/>
    <x v="0"/>
    <n v="4645.6400000000003"/>
    <x v="1"/>
    <n v="0.26"/>
    <x v="2"/>
    <x v="0"/>
  </r>
  <r>
    <x v="11"/>
    <x v="0"/>
    <x v="3"/>
    <x v="425"/>
    <n v="48"/>
    <x v="3"/>
    <n v="3049.04"/>
    <x v="0"/>
    <n v="0.1"/>
    <x v="2"/>
    <x v="1"/>
  </r>
  <r>
    <x v="9"/>
    <x v="4"/>
    <x v="0"/>
    <x v="426"/>
    <n v="20"/>
    <x v="2"/>
    <n v="2056.35"/>
    <x v="1"/>
    <n v="0.21"/>
    <x v="0"/>
    <x v="1"/>
  </r>
  <r>
    <x v="11"/>
    <x v="3"/>
    <x v="2"/>
    <x v="427"/>
    <n v="13"/>
    <x v="1"/>
    <n v="2437.6999999999998"/>
    <x v="0"/>
    <n v="0.19"/>
    <x v="2"/>
    <x v="1"/>
  </r>
  <r>
    <x v="11"/>
    <x v="3"/>
    <x v="1"/>
    <x v="428"/>
    <n v="38"/>
    <x v="3"/>
    <n v="4096.96"/>
    <x v="1"/>
    <n v="0.09"/>
    <x v="0"/>
    <x v="0"/>
  </r>
  <r>
    <x v="11"/>
    <x v="0"/>
    <x v="0"/>
    <x v="429"/>
    <n v="48"/>
    <x v="2"/>
    <n v="4625.5599999999904"/>
    <x v="1"/>
    <n v="0.1"/>
    <x v="0"/>
    <x v="0"/>
  </r>
  <r>
    <x v="11"/>
    <x v="2"/>
    <x v="0"/>
    <x v="430"/>
    <n v="6"/>
    <x v="0"/>
    <n v="742"/>
    <x v="0"/>
    <n v="0.22"/>
    <x v="2"/>
    <x v="1"/>
  </r>
  <r>
    <x v="10"/>
    <x v="4"/>
    <x v="0"/>
    <x v="431"/>
    <n v="19"/>
    <x v="1"/>
    <n v="1763.69"/>
    <x v="0"/>
    <n v="0.03"/>
    <x v="1"/>
    <x v="1"/>
  </r>
  <r>
    <x v="11"/>
    <x v="3"/>
    <x v="0"/>
    <x v="432"/>
    <n v="8"/>
    <x v="3"/>
    <n v="3609.3399999999901"/>
    <x v="1"/>
    <n v="0.09"/>
    <x v="2"/>
    <x v="0"/>
  </r>
  <r>
    <x v="11"/>
    <x v="2"/>
    <x v="1"/>
    <x v="433"/>
    <n v="15"/>
    <x v="3"/>
    <n v="1832.6"/>
    <x v="1"/>
    <n v="0.12"/>
    <x v="2"/>
    <x v="0"/>
  </r>
  <r>
    <x v="11"/>
    <x v="0"/>
    <x v="2"/>
    <x v="434"/>
    <n v="35"/>
    <x v="0"/>
    <n v="4082.1099999999901"/>
    <x v="0"/>
    <n v="0.22"/>
    <x v="1"/>
    <x v="0"/>
  </r>
  <r>
    <x v="11"/>
    <x v="1"/>
    <x v="0"/>
    <x v="435"/>
    <n v="4"/>
    <x v="2"/>
    <n v="5017.58"/>
    <x v="0"/>
    <n v="0.24"/>
    <x v="1"/>
    <x v="1"/>
  </r>
  <r>
    <x v="11"/>
    <x v="1"/>
    <x v="2"/>
    <x v="436"/>
    <n v="43"/>
    <x v="3"/>
    <n v="3246.33"/>
    <x v="0"/>
    <n v="0.25"/>
    <x v="1"/>
    <x v="0"/>
  </r>
  <r>
    <x v="7"/>
    <x v="4"/>
    <x v="0"/>
    <x v="437"/>
    <n v="11"/>
    <x v="3"/>
    <n v="4230"/>
    <x v="0"/>
    <n v="0.28999999999999998"/>
    <x v="0"/>
    <x v="0"/>
  </r>
  <r>
    <x v="11"/>
    <x v="1"/>
    <x v="2"/>
    <x v="438"/>
    <n v="17"/>
    <x v="0"/>
    <n v="1159.06"/>
    <x v="1"/>
    <n v="0.06"/>
    <x v="1"/>
    <x v="1"/>
  </r>
  <r>
    <x v="11"/>
    <x v="0"/>
    <x v="3"/>
    <x v="439"/>
    <n v="35"/>
    <x v="0"/>
    <n v="1321.18"/>
    <x v="1"/>
    <n v="0.1"/>
    <x v="1"/>
    <x v="0"/>
  </r>
  <r>
    <x v="11"/>
    <x v="0"/>
    <x v="2"/>
    <x v="440"/>
    <n v="24"/>
    <x v="3"/>
    <n v="1891.02"/>
    <x v="0"/>
    <n v="0.21"/>
    <x v="2"/>
    <x v="0"/>
  </r>
  <r>
    <x v="11"/>
    <x v="1"/>
    <x v="2"/>
    <x v="441"/>
    <n v="2"/>
    <x v="0"/>
    <n v="3255.5299999999902"/>
    <x v="1"/>
    <n v="0.06"/>
    <x v="0"/>
    <x v="0"/>
  </r>
  <r>
    <x v="11"/>
    <x v="2"/>
    <x v="1"/>
    <x v="442"/>
    <n v="42"/>
    <x v="3"/>
    <n v="2382.23"/>
    <x v="1"/>
    <n v="0.15"/>
    <x v="2"/>
    <x v="1"/>
  </r>
  <r>
    <x v="11"/>
    <x v="0"/>
    <x v="2"/>
    <x v="443"/>
    <n v="41"/>
    <x v="0"/>
    <n v="2441.46"/>
    <x v="0"/>
    <n v="0.24"/>
    <x v="2"/>
    <x v="0"/>
  </r>
  <r>
    <x v="11"/>
    <x v="1"/>
    <x v="2"/>
    <x v="444"/>
    <n v="9"/>
    <x v="3"/>
    <n v="1668.95"/>
    <x v="1"/>
    <n v="0.12"/>
    <x v="2"/>
    <x v="1"/>
  </r>
  <r>
    <x v="11"/>
    <x v="3"/>
    <x v="0"/>
    <x v="445"/>
    <n v="12"/>
    <x v="1"/>
    <n v="2087.4499999999998"/>
    <x v="0"/>
    <n v="0.05"/>
    <x v="0"/>
    <x v="1"/>
  </r>
  <r>
    <x v="11"/>
    <x v="1"/>
    <x v="1"/>
    <x v="446"/>
    <n v="47"/>
    <x v="0"/>
    <n v="1703.02"/>
    <x v="1"/>
    <n v="0.12"/>
    <x v="0"/>
    <x v="1"/>
  </r>
  <r>
    <x v="11"/>
    <x v="3"/>
    <x v="0"/>
    <x v="447"/>
    <n v="25"/>
    <x v="1"/>
    <n v="4212.6499999999996"/>
    <x v="0"/>
    <n v="0.22"/>
    <x v="1"/>
    <x v="0"/>
  </r>
  <r>
    <x v="11"/>
    <x v="3"/>
    <x v="2"/>
    <x v="448"/>
    <n v="46"/>
    <x v="3"/>
    <n v="2260.81"/>
    <x v="0"/>
    <n v="0"/>
    <x v="1"/>
    <x v="1"/>
  </r>
  <r>
    <x v="11"/>
    <x v="2"/>
    <x v="1"/>
    <x v="449"/>
    <n v="10"/>
    <x v="0"/>
    <n v="2191.1899999999901"/>
    <x v="1"/>
    <n v="0.2"/>
    <x v="2"/>
    <x v="0"/>
  </r>
  <r>
    <x v="11"/>
    <x v="1"/>
    <x v="0"/>
    <x v="450"/>
    <n v="2"/>
    <x v="1"/>
    <n v="2073.3200000000002"/>
    <x v="0"/>
    <n v="0.16"/>
    <x v="1"/>
    <x v="1"/>
  </r>
  <r>
    <x v="6"/>
    <x v="4"/>
    <x v="0"/>
    <x v="451"/>
    <n v="34"/>
    <x v="2"/>
    <n v="1200.96"/>
    <x v="1"/>
    <n v="0.19"/>
    <x v="1"/>
    <x v="0"/>
  </r>
  <r>
    <x v="11"/>
    <x v="3"/>
    <x v="3"/>
    <x v="452"/>
    <n v="46"/>
    <x v="1"/>
    <n v="1138.49"/>
    <x v="0"/>
    <n v="0.04"/>
    <x v="0"/>
    <x v="0"/>
  </r>
  <r>
    <x v="11"/>
    <x v="1"/>
    <x v="3"/>
    <x v="453"/>
    <n v="2"/>
    <x v="1"/>
    <n v="3480.58"/>
    <x v="1"/>
    <n v="0.12"/>
    <x v="1"/>
    <x v="1"/>
  </r>
  <r>
    <x v="11"/>
    <x v="3"/>
    <x v="1"/>
    <x v="454"/>
    <n v="19"/>
    <x v="0"/>
    <n v="3598.72"/>
    <x v="0"/>
    <n v="0.27"/>
    <x v="0"/>
    <x v="0"/>
  </r>
  <r>
    <x v="11"/>
    <x v="3"/>
    <x v="0"/>
    <x v="455"/>
    <n v="23"/>
    <x v="0"/>
    <n v="4255.7299999999996"/>
    <x v="1"/>
    <n v="0.04"/>
    <x v="1"/>
    <x v="0"/>
  </r>
  <r>
    <x v="11"/>
    <x v="1"/>
    <x v="0"/>
    <x v="456"/>
    <n v="47"/>
    <x v="3"/>
    <n v="803.71"/>
    <x v="0"/>
    <n v="0.12"/>
    <x v="0"/>
    <x v="1"/>
  </r>
  <r>
    <x v="11"/>
    <x v="0"/>
    <x v="1"/>
    <x v="457"/>
    <n v="15"/>
    <x v="3"/>
    <n v="634.16"/>
    <x v="1"/>
    <n v="0.11"/>
    <x v="2"/>
    <x v="1"/>
  </r>
  <r>
    <x v="11"/>
    <x v="0"/>
    <x v="3"/>
    <x v="458"/>
    <n v="18"/>
    <x v="2"/>
    <n v="576.44000000000005"/>
    <x v="0"/>
    <n v="0.18"/>
    <x v="2"/>
    <x v="1"/>
  </r>
  <r>
    <x v="11"/>
    <x v="1"/>
    <x v="2"/>
    <x v="459"/>
    <n v="21"/>
    <x v="3"/>
    <n v="2598.58"/>
    <x v="1"/>
    <n v="0.02"/>
    <x v="2"/>
    <x v="1"/>
  </r>
  <r>
    <x v="11"/>
    <x v="2"/>
    <x v="1"/>
    <x v="460"/>
    <n v="31"/>
    <x v="2"/>
    <n v="2259.5"/>
    <x v="0"/>
    <n v="0.27"/>
    <x v="1"/>
    <x v="1"/>
  </r>
  <r>
    <x v="11"/>
    <x v="1"/>
    <x v="3"/>
    <x v="461"/>
    <n v="2"/>
    <x v="0"/>
    <n v="3830.71"/>
    <x v="1"/>
    <n v="0.12"/>
    <x v="2"/>
    <x v="0"/>
  </r>
  <r>
    <x v="11"/>
    <x v="3"/>
    <x v="3"/>
    <x v="462"/>
    <n v="47"/>
    <x v="0"/>
    <n v="657.44"/>
    <x v="1"/>
    <n v="0.14000000000000001"/>
    <x v="2"/>
    <x v="1"/>
  </r>
  <r>
    <x v="11"/>
    <x v="2"/>
    <x v="2"/>
    <x v="463"/>
    <n v="3"/>
    <x v="1"/>
    <n v="3733.71"/>
    <x v="1"/>
    <n v="0.06"/>
    <x v="0"/>
    <x v="1"/>
  </r>
  <r>
    <x v="11"/>
    <x v="3"/>
    <x v="1"/>
    <x v="464"/>
    <n v="2"/>
    <x v="1"/>
    <n v="4545.78"/>
    <x v="1"/>
    <n v="0.2"/>
    <x v="2"/>
    <x v="1"/>
  </r>
  <r>
    <x v="11"/>
    <x v="3"/>
    <x v="0"/>
    <x v="465"/>
    <n v="38"/>
    <x v="2"/>
    <n v="390.89"/>
    <x v="1"/>
    <n v="0.25"/>
    <x v="2"/>
    <x v="0"/>
  </r>
  <r>
    <x v="11"/>
    <x v="0"/>
    <x v="0"/>
    <x v="466"/>
    <n v="27"/>
    <x v="2"/>
    <n v="3596.64"/>
    <x v="0"/>
    <n v="0.01"/>
    <x v="1"/>
    <x v="1"/>
  </r>
  <r>
    <x v="11"/>
    <x v="0"/>
    <x v="0"/>
    <x v="467"/>
    <n v="9"/>
    <x v="3"/>
    <n v="5129.1899999999996"/>
    <x v="1"/>
    <n v="0.13"/>
    <x v="2"/>
    <x v="0"/>
  </r>
  <r>
    <x v="11"/>
    <x v="1"/>
    <x v="3"/>
    <x v="468"/>
    <n v="10"/>
    <x v="1"/>
    <n v="818.14"/>
    <x v="1"/>
    <n v="0.25"/>
    <x v="2"/>
    <x v="1"/>
  </r>
  <r>
    <x v="11"/>
    <x v="4"/>
    <x v="3"/>
    <x v="469"/>
    <n v="27"/>
    <x v="1"/>
    <n v="1510.4299999999901"/>
    <x v="1"/>
    <n v="0.17"/>
    <x v="1"/>
    <x v="1"/>
  </r>
  <r>
    <x v="11"/>
    <x v="0"/>
    <x v="3"/>
    <x v="470"/>
    <n v="24"/>
    <x v="3"/>
    <n v="1862.88"/>
    <x v="0"/>
    <n v="0.09"/>
    <x v="0"/>
    <x v="0"/>
  </r>
  <r>
    <x v="11"/>
    <x v="0"/>
    <x v="2"/>
    <x v="471"/>
    <n v="6"/>
    <x v="3"/>
    <n v="2840.14"/>
    <x v="1"/>
    <n v="7.0000000000000007E-2"/>
    <x v="2"/>
    <x v="1"/>
  </r>
  <r>
    <x v="1"/>
    <x v="4"/>
    <x v="3"/>
    <x v="472"/>
    <n v="37"/>
    <x v="1"/>
    <n v="1174.48"/>
    <x v="0"/>
    <n v="0.22"/>
    <x v="2"/>
    <x v="0"/>
  </r>
  <r>
    <x v="11"/>
    <x v="0"/>
    <x v="2"/>
    <x v="473"/>
    <n v="22"/>
    <x v="1"/>
    <n v="1751.24"/>
    <x v="0"/>
    <n v="0.22"/>
    <x v="1"/>
    <x v="0"/>
  </r>
  <r>
    <x v="3"/>
    <x v="4"/>
    <x v="0"/>
    <x v="474"/>
    <n v="40"/>
    <x v="2"/>
    <n v="1067.53"/>
    <x v="0"/>
    <n v="0.18"/>
    <x v="1"/>
    <x v="0"/>
  </r>
  <r>
    <x v="11"/>
    <x v="1"/>
    <x v="2"/>
    <x v="475"/>
    <n v="3"/>
    <x v="1"/>
    <n v="2723.13"/>
    <x v="1"/>
    <n v="0.08"/>
    <x v="1"/>
    <x v="1"/>
  </r>
  <r>
    <x v="11"/>
    <x v="3"/>
    <x v="0"/>
    <x v="476"/>
    <n v="14"/>
    <x v="0"/>
    <n v="2626.3199999999902"/>
    <x v="1"/>
    <n v="0.21"/>
    <x v="2"/>
    <x v="0"/>
  </r>
  <r>
    <x v="11"/>
    <x v="1"/>
    <x v="1"/>
    <x v="477"/>
    <n v="32"/>
    <x v="2"/>
    <n v="4446.8999999999996"/>
    <x v="0"/>
    <n v="0.1"/>
    <x v="0"/>
    <x v="0"/>
  </r>
  <r>
    <x v="11"/>
    <x v="3"/>
    <x v="3"/>
    <x v="478"/>
    <n v="13"/>
    <x v="0"/>
    <n v="4358.37"/>
    <x v="0"/>
    <n v="0.13"/>
    <x v="1"/>
    <x v="1"/>
  </r>
  <r>
    <x v="11"/>
    <x v="2"/>
    <x v="3"/>
    <x v="479"/>
    <n v="5"/>
    <x v="3"/>
    <n v="4082.7599999999902"/>
    <x v="0"/>
    <n v="0.26"/>
    <x v="2"/>
    <x v="0"/>
  </r>
  <r>
    <x v="11"/>
    <x v="1"/>
    <x v="1"/>
    <x v="480"/>
    <n v="32"/>
    <x v="2"/>
    <n v="351.6"/>
    <x v="1"/>
    <n v="0.27"/>
    <x v="2"/>
    <x v="1"/>
  </r>
  <r>
    <x v="11"/>
    <x v="1"/>
    <x v="3"/>
    <x v="481"/>
    <n v="24"/>
    <x v="1"/>
    <n v="5309.32"/>
    <x v="1"/>
    <n v="0.19"/>
    <x v="2"/>
    <x v="0"/>
  </r>
  <r>
    <x v="5"/>
    <x v="4"/>
    <x v="1"/>
    <x v="482"/>
    <n v="28"/>
    <x v="3"/>
    <n v="1576.34"/>
    <x v="1"/>
    <n v="0.2"/>
    <x v="0"/>
    <x v="0"/>
  </r>
  <r>
    <x v="11"/>
    <x v="2"/>
    <x v="0"/>
    <x v="483"/>
    <n v="29"/>
    <x v="1"/>
    <n v="3222.65"/>
    <x v="1"/>
    <n v="0.08"/>
    <x v="2"/>
    <x v="1"/>
  </r>
  <r>
    <x v="3"/>
    <x v="4"/>
    <x v="3"/>
    <x v="484"/>
    <n v="8"/>
    <x v="0"/>
    <n v="4629.9799999999996"/>
    <x v="1"/>
    <n v="0.01"/>
    <x v="2"/>
    <x v="0"/>
  </r>
  <r>
    <x v="11"/>
    <x v="0"/>
    <x v="0"/>
    <x v="485"/>
    <n v="13"/>
    <x v="0"/>
    <n v="1441.88"/>
    <x v="1"/>
    <n v="0.23"/>
    <x v="2"/>
    <x v="1"/>
  </r>
  <r>
    <x v="11"/>
    <x v="0"/>
    <x v="1"/>
    <x v="486"/>
    <n v="22"/>
    <x v="2"/>
    <n v="3672.89"/>
    <x v="1"/>
    <n v="0.27"/>
    <x v="2"/>
    <x v="0"/>
  </r>
  <r>
    <x v="11"/>
    <x v="0"/>
    <x v="2"/>
    <x v="487"/>
    <n v="26"/>
    <x v="0"/>
    <n v="1935.25"/>
    <x v="0"/>
    <n v="0.14000000000000001"/>
    <x v="2"/>
    <x v="0"/>
  </r>
  <r>
    <x v="11"/>
    <x v="1"/>
    <x v="3"/>
    <x v="488"/>
    <n v="42"/>
    <x v="2"/>
    <n v="1355.44"/>
    <x v="0"/>
    <n v="0.06"/>
    <x v="1"/>
    <x v="1"/>
  </r>
  <r>
    <x v="11"/>
    <x v="3"/>
    <x v="3"/>
    <x v="489"/>
    <n v="38"/>
    <x v="0"/>
    <n v="5088.0600000000004"/>
    <x v="1"/>
    <n v="0.16"/>
    <x v="2"/>
    <x v="1"/>
  </r>
  <r>
    <x v="11"/>
    <x v="2"/>
    <x v="1"/>
    <x v="490"/>
    <n v="35"/>
    <x v="0"/>
    <n v="4884.12"/>
    <x v="0"/>
    <n v="0.04"/>
    <x v="1"/>
    <x v="0"/>
  </r>
  <r>
    <x v="11"/>
    <x v="2"/>
    <x v="1"/>
    <x v="491"/>
    <n v="39"/>
    <x v="0"/>
    <n v="4829.5200000000004"/>
    <x v="1"/>
    <n v="0.17"/>
    <x v="0"/>
    <x v="0"/>
  </r>
  <r>
    <x v="0"/>
    <x v="4"/>
    <x v="1"/>
    <x v="492"/>
    <n v="36"/>
    <x v="2"/>
    <n v="1170.1599999999901"/>
    <x v="1"/>
    <n v="0.11"/>
    <x v="1"/>
    <x v="1"/>
  </r>
  <r>
    <x v="11"/>
    <x v="1"/>
    <x v="1"/>
    <x v="493"/>
    <n v="13"/>
    <x v="0"/>
    <n v="3263.96"/>
    <x v="0"/>
    <n v="0.24"/>
    <x v="1"/>
    <x v="1"/>
  </r>
  <r>
    <x v="11"/>
    <x v="3"/>
    <x v="2"/>
    <x v="494"/>
    <n v="11"/>
    <x v="0"/>
    <n v="3552.6299999999901"/>
    <x v="0"/>
    <n v="0.27"/>
    <x v="1"/>
    <x v="1"/>
  </r>
  <r>
    <x v="11"/>
    <x v="2"/>
    <x v="2"/>
    <x v="495"/>
    <n v="19"/>
    <x v="1"/>
    <n v="1464.71"/>
    <x v="0"/>
    <n v="0"/>
    <x v="2"/>
    <x v="1"/>
  </r>
  <r>
    <x v="11"/>
    <x v="0"/>
    <x v="1"/>
    <x v="496"/>
    <n v="49"/>
    <x v="3"/>
    <n v="675.54"/>
    <x v="1"/>
    <n v="0.1"/>
    <x v="1"/>
    <x v="0"/>
  </r>
  <r>
    <x v="11"/>
    <x v="2"/>
    <x v="1"/>
    <x v="497"/>
    <n v="43"/>
    <x v="0"/>
    <n v="4958.78"/>
    <x v="0"/>
    <n v="0.04"/>
    <x v="1"/>
    <x v="1"/>
  </r>
  <r>
    <x v="11"/>
    <x v="2"/>
    <x v="1"/>
    <x v="498"/>
    <n v="16"/>
    <x v="0"/>
    <n v="1284.3599999999999"/>
    <x v="1"/>
    <n v="0.03"/>
    <x v="2"/>
    <x v="1"/>
  </r>
  <r>
    <x v="11"/>
    <x v="4"/>
    <x v="3"/>
    <x v="499"/>
    <n v="46"/>
    <x v="3"/>
    <n v="1164.4100000000001"/>
    <x v="1"/>
    <n v="0.28000000000000003"/>
    <x v="2"/>
    <x v="1"/>
  </r>
  <r>
    <x v="8"/>
    <x v="4"/>
    <x v="2"/>
    <x v="500"/>
    <n v="17"/>
    <x v="0"/>
    <n v="2654.65"/>
    <x v="0"/>
    <n v="0.13"/>
    <x v="1"/>
    <x v="1"/>
  </r>
  <r>
    <x v="1"/>
    <x v="3"/>
    <x v="3"/>
    <x v="501"/>
    <n v="43"/>
    <x v="0"/>
    <n v="4469.07"/>
    <x v="1"/>
    <n v="0.23"/>
    <x v="1"/>
    <x v="1"/>
  </r>
  <r>
    <x v="1"/>
    <x v="1"/>
    <x v="1"/>
    <x v="502"/>
    <n v="42"/>
    <x v="3"/>
    <n v="3600.14"/>
    <x v="1"/>
    <n v="0.19"/>
    <x v="2"/>
    <x v="1"/>
  </r>
  <r>
    <x v="8"/>
    <x v="4"/>
    <x v="2"/>
    <x v="503"/>
    <n v="33"/>
    <x v="1"/>
    <n v="1427.21"/>
    <x v="1"/>
    <n v="0.15"/>
    <x v="2"/>
    <x v="0"/>
  </r>
  <r>
    <x v="1"/>
    <x v="0"/>
    <x v="3"/>
    <x v="504"/>
    <n v="15"/>
    <x v="1"/>
    <n v="1870.88"/>
    <x v="1"/>
    <n v="0.23"/>
    <x v="1"/>
    <x v="0"/>
  </r>
  <r>
    <x v="1"/>
    <x v="2"/>
    <x v="1"/>
    <x v="505"/>
    <n v="48"/>
    <x v="2"/>
    <n v="3080.61"/>
    <x v="1"/>
    <n v="0.18"/>
    <x v="0"/>
    <x v="1"/>
  </r>
  <r>
    <x v="1"/>
    <x v="2"/>
    <x v="2"/>
    <x v="506"/>
    <n v="15"/>
    <x v="0"/>
    <n v="2867.36"/>
    <x v="1"/>
    <n v="0.04"/>
    <x v="0"/>
    <x v="1"/>
  </r>
  <r>
    <x v="1"/>
    <x v="2"/>
    <x v="2"/>
    <x v="507"/>
    <n v="10"/>
    <x v="1"/>
    <n v="3054.79"/>
    <x v="1"/>
    <n v="0.08"/>
    <x v="2"/>
    <x v="0"/>
  </r>
  <r>
    <x v="1"/>
    <x v="2"/>
    <x v="3"/>
    <x v="508"/>
    <n v="38"/>
    <x v="1"/>
    <n v="4270.59"/>
    <x v="1"/>
    <n v="0.15"/>
    <x v="2"/>
    <x v="0"/>
  </r>
  <r>
    <x v="7"/>
    <x v="4"/>
    <x v="1"/>
    <x v="509"/>
    <n v="36"/>
    <x v="3"/>
    <n v="1567.92"/>
    <x v="0"/>
    <n v="0.28999999999999998"/>
    <x v="1"/>
    <x v="0"/>
  </r>
  <r>
    <x v="1"/>
    <x v="4"/>
    <x v="2"/>
    <x v="510"/>
    <n v="9"/>
    <x v="1"/>
    <n v="4758.1099999999997"/>
    <x v="1"/>
    <n v="0.05"/>
    <x v="0"/>
    <x v="0"/>
  </r>
  <r>
    <x v="1"/>
    <x v="3"/>
    <x v="0"/>
    <x v="511"/>
    <n v="16"/>
    <x v="0"/>
    <n v="4464.28"/>
    <x v="1"/>
    <n v="0.2"/>
    <x v="2"/>
    <x v="1"/>
  </r>
  <r>
    <x v="1"/>
    <x v="1"/>
    <x v="3"/>
    <x v="512"/>
    <n v="17"/>
    <x v="0"/>
    <n v="1840.77"/>
    <x v="1"/>
    <n v="0.1"/>
    <x v="2"/>
    <x v="0"/>
  </r>
  <r>
    <x v="2"/>
    <x v="4"/>
    <x v="0"/>
    <x v="513"/>
    <n v="39"/>
    <x v="3"/>
    <n v="1389.35"/>
    <x v="0"/>
    <n v="0.24"/>
    <x v="0"/>
    <x v="0"/>
  </r>
  <r>
    <x v="1"/>
    <x v="1"/>
    <x v="1"/>
    <x v="514"/>
    <n v="23"/>
    <x v="1"/>
    <n v="1567.78"/>
    <x v="1"/>
    <n v="0.15"/>
    <x v="2"/>
    <x v="1"/>
  </r>
  <r>
    <x v="1"/>
    <x v="1"/>
    <x v="2"/>
    <x v="515"/>
    <n v="6"/>
    <x v="0"/>
    <n v="2309.4299999999998"/>
    <x v="0"/>
    <n v="0.26"/>
    <x v="2"/>
    <x v="0"/>
  </r>
  <r>
    <x v="1"/>
    <x v="1"/>
    <x v="0"/>
    <x v="516"/>
    <n v="47"/>
    <x v="2"/>
    <n v="4694.21"/>
    <x v="0"/>
    <n v="0.25"/>
    <x v="0"/>
    <x v="0"/>
  </r>
  <r>
    <x v="1"/>
    <x v="0"/>
    <x v="2"/>
    <x v="517"/>
    <n v="15"/>
    <x v="3"/>
    <n v="1710.95"/>
    <x v="0"/>
    <n v="0.23"/>
    <x v="2"/>
    <x v="1"/>
  </r>
  <r>
    <x v="1"/>
    <x v="0"/>
    <x v="2"/>
    <x v="518"/>
    <n v="35"/>
    <x v="3"/>
    <n v="2646.5299999999902"/>
    <x v="1"/>
    <n v="0.09"/>
    <x v="0"/>
    <x v="0"/>
  </r>
  <r>
    <x v="1"/>
    <x v="1"/>
    <x v="0"/>
    <x v="519"/>
    <n v="18"/>
    <x v="0"/>
    <n v="1180.04"/>
    <x v="1"/>
    <n v="0.22"/>
    <x v="0"/>
    <x v="0"/>
  </r>
  <r>
    <x v="1"/>
    <x v="3"/>
    <x v="1"/>
    <x v="520"/>
    <n v="39"/>
    <x v="3"/>
    <n v="5088.0199999999904"/>
    <x v="0"/>
    <n v="0.23"/>
    <x v="0"/>
    <x v="1"/>
  </r>
  <r>
    <x v="1"/>
    <x v="3"/>
    <x v="1"/>
    <x v="521"/>
    <n v="32"/>
    <x v="1"/>
    <n v="1176.17"/>
    <x v="0"/>
    <n v="0.22"/>
    <x v="0"/>
    <x v="1"/>
  </r>
  <r>
    <x v="8"/>
    <x v="4"/>
    <x v="3"/>
    <x v="522"/>
    <n v="17"/>
    <x v="2"/>
    <n v="2568.73"/>
    <x v="0"/>
    <n v="0.05"/>
    <x v="1"/>
    <x v="1"/>
  </r>
  <r>
    <x v="3"/>
    <x v="4"/>
    <x v="3"/>
    <x v="523"/>
    <n v="17"/>
    <x v="2"/>
    <n v="3204.01"/>
    <x v="0"/>
    <n v="0.2"/>
    <x v="0"/>
    <x v="0"/>
  </r>
  <r>
    <x v="1"/>
    <x v="3"/>
    <x v="2"/>
    <x v="524"/>
    <n v="17"/>
    <x v="2"/>
    <n v="1366.62"/>
    <x v="0"/>
    <n v="0.21"/>
    <x v="2"/>
    <x v="1"/>
  </r>
  <r>
    <x v="6"/>
    <x v="4"/>
    <x v="3"/>
    <x v="525"/>
    <n v="35"/>
    <x v="1"/>
    <n v="1466.1799999999901"/>
    <x v="1"/>
    <n v="0.13"/>
    <x v="1"/>
    <x v="0"/>
  </r>
  <r>
    <x v="1"/>
    <x v="0"/>
    <x v="1"/>
    <x v="526"/>
    <n v="14"/>
    <x v="1"/>
    <n v="2796.8799999999901"/>
    <x v="0"/>
    <n v="0.13"/>
    <x v="0"/>
    <x v="0"/>
  </r>
  <r>
    <x v="1"/>
    <x v="2"/>
    <x v="1"/>
    <x v="527"/>
    <n v="11"/>
    <x v="1"/>
    <n v="540.38"/>
    <x v="0"/>
    <n v="0.18"/>
    <x v="0"/>
    <x v="0"/>
  </r>
  <r>
    <x v="1"/>
    <x v="0"/>
    <x v="3"/>
    <x v="528"/>
    <n v="43"/>
    <x v="0"/>
    <n v="4537.9399999999996"/>
    <x v="1"/>
    <n v="0.13"/>
    <x v="0"/>
    <x v="0"/>
  </r>
  <r>
    <x v="1"/>
    <x v="0"/>
    <x v="2"/>
    <x v="529"/>
    <n v="48"/>
    <x v="1"/>
    <n v="1939.04"/>
    <x v="0"/>
    <n v="0.09"/>
    <x v="2"/>
    <x v="0"/>
  </r>
  <r>
    <x v="11"/>
    <x v="4"/>
    <x v="3"/>
    <x v="530"/>
    <n v="42"/>
    <x v="3"/>
    <n v="1482.88"/>
    <x v="0"/>
    <n v="0.28000000000000003"/>
    <x v="2"/>
    <x v="1"/>
  </r>
  <r>
    <x v="1"/>
    <x v="2"/>
    <x v="3"/>
    <x v="531"/>
    <n v="10"/>
    <x v="0"/>
    <n v="2438.9699999999998"/>
    <x v="1"/>
    <n v="0.02"/>
    <x v="0"/>
    <x v="1"/>
  </r>
  <r>
    <x v="1"/>
    <x v="0"/>
    <x v="0"/>
    <x v="532"/>
    <n v="42"/>
    <x v="1"/>
    <n v="907.63"/>
    <x v="0"/>
    <n v="0.04"/>
    <x v="1"/>
    <x v="1"/>
  </r>
  <r>
    <x v="1"/>
    <x v="0"/>
    <x v="1"/>
    <x v="533"/>
    <n v="13"/>
    <x v="2"/>
    <n v="4357.49"/>
    <x v="0"/>
    <n v="0.08"/>
    <x v="0"/>
    <x v="0"/>
  </r>
  <r>
    <x v="1"/>
    <x v="1"/>
    <x v="2"/>
    <x v="534"/>
    <n v="36"/>
    <x v="1"/>
    <n v="1150.28"/>
    <x v="0"/>
    <n v="0.2"/>
    <x v="0"/>
    <x v="0"/>
  </r>
  <r>
    <x v="1"/>
    <x v="1"/>
    <x v="2"/>
    <x v="535"/>
    <n v="47"/>
    <x v="1"/>
    <n v="1830.76"/>
    <x v="0"/>
    <n v="0.12"/>
    <x v="0"/>
    <x v="0"/>
  </r>
  <r>
    <x v="1"/>
    <x v="2"/>
    <x v="2"/>
    <x v="536"/>
    <n v="31"/>
    <x v="0"/>
    <n v="1320.32"/>
    <x v="0"/>
    <n v="0.15"/>
    <x v="1"/>
    <x v="0"/>
  </r>
  <r>
    <x v="1"/>
    <x v="1"/>
    <x v="2"/>
    <x v="537"/>
    <n v="2"/>
    <x v="2"/>
    <n v="944.79"/>
    <x v="0"/>
    <n v="0.1"/>
    <x v="2"/>
    <x v="1"/>
  </r>
  <r>
    <x v="1"/>
    <x v="0"/>
    <x v="0"/>
    <x v="538"/>
    <n v="16"/>
    <x v="3"/>
    <n v="4461.51"/>
    <x v="1"/>
    <n v="0.09"/>
    <x v="0"/>
    <x v="0"/>
  </r>
  <r>
    <x v="1"/>
    <x v="2"/>
    <x v="2"/>
    <x v="539"/>
    <n v="31"/>
    <x v="3"/>
    <n v="1001.77"/>
    <x v="0"/>
    <n v="0.03"/>
    <x v="1"/>
    <x v="0"/>
  </r>
  <r>
    <x v="1"/>
    <x v="1"/>
    <x v="2"/>
    <x v="540"/>
    <n v="12"/>
    <x v="3"/>
    <n v="5145.88"/>
    <x v="1"/>
    <n v="0.19"/>
    <x v="2"/>
    <x v="0"/>
  </r>
  <r>
    <x v="1"/>
    <x v="3"/>
    <x v="0"/>
    <x v="541"/>
    <n v="22"/>
    <x v="2"/>
    <n v="3606.0899999999901"/>
    <x v="0"/>
    <n v="7.0000000000000007E-2"/>
    <x v="1"/>
    <x v="0"/>
  </r>
  <r>
    <x v="1"/>
    <x v="1"/>
    <x v="3"/>
    <x v="542"/>
    <n v="27"/>
    <x v="0"/>
    <n v="3836.52"/>
    <x v="0"/>
    <n v="0.08"/>
    <x v="1"/>
    <x v="0"/>
  </r>
  <r>
    <x v="1"/>
    <x v="4"/>
    <x v="3"/>
    <x v="543"/>
    <n v="19"/>
    <x v="3"/>
    <n v="3209.22"/>
    <x v="1"/>
    <n v="0.26"/>
    <x v="1"/>
    <x v="0"/>
  </r>
  <r>
    <x v="1"/>
    <x v="2"/>
    <x v="3"/>
    <x v="544"/>
    <n v="14"/>
    <x v="2"/>
    <n v="4495.13"/>
    <x v="0"/>
    <n v="0.06"/>
    <x v="0"/>
    <x v="1"/>
  </r>
  <r>
    <x v="1"/>
    <x v="0"/>
    <x v="3"/>
    <x v="545"/>
    <n v="5"/>
    <x v="2"/>
    <n v="2490.4699999999998"/>
    <x v="0"/>
    <n v="0.28000000000000003"/>
    <x v="1"/>
    <x v="0"/>
  </r>
  <r>
    <x v="1"/>
    <x v="1"/>
    <x v="0"/>
    <x v="546"/>
    <n v="14"/>
    <x v="0"/>
    <n v="2709.4"/>
    <x v="1"/>
    <n v="0.11"/>
    <x v="2"/>
    <x v="1"/>
  </r>
  <r>
    <x v="3"/>
    <x v="4"/>
    <x v="1"/>
    <x v="547"/>
    <n v="25"/>
    <x v="2"/>
    <n v="2616.19"/>
    <x v="0"/>
    <n v="0.3"/>
    <x v="0"/>
    <x v="1"/>
  </r>
  <r>
    <x v="1"/>
    <x v="0"/>
    <x v="1"/>
    <x v="548"/>
    <n v="33"/>
    <x v="1"/>
    <n v="3083.06"/>
    <x v="0"/>
    <n v="0.08"/>
    <x v="2"/>
    <x v="0"/>
  </r>
  <r>
    <x v="1"/>
    <x v="0"/>
    <x v="2"/>
    <x v="549"/>
    <n v="17"/>
    <x v="0"/>
    <n v="4045.3399999999901"/>
    <x v="1"/>
    <n v="0.16"/>
    <x v="2"/>
    <x v="0"/>
  </r>
  <r>
    <x v="1"/>
    <x v="0"/>
    <x v="1"/>
    <x v="550"/>
    <n v="46"/>
    <x v="2"/>
    <n v="1437.12"/>
    <x v="0"/>
    <n v="0.11"/>
    <x v="2"/>
    <x v="0"/>
  </r>
  <r>
    <x v="1"/>
    <x v="2"/>
    <x v="3"/>
    <x v="551"/>
    <n v="40"/>
    <x v="1"/>
    <n v="3239.74"/>
    <x v="0"/>
    <n v="0.27"/>
    <x v="2"/>
    <x v="0"/>
  </r>
  <r>
    <x v="1"/>
    <x v="3"/>
    <x v="3"/>
    <x v="552"/>
    <n v="35"/>
    <x v="0"/>
    <n v="2707.25"/>
    <x v="0"/>
    <n v="0.12"/>
    <x v="2"/>
    <x v="1"/>
  </r>
  <r>
    <x v="1"/>
    <x v="0"/>
    <x v="2"/>
    <x v="553"/>
    <n v="16"/>
    <x v="3"/>
    <n v="2568.13"/>
    <x v="0"/>
    <n v="0.01"/>
    <x v="2"/>
    <x v="0"/>
  </r>
  <r>
    <x v="1"/>
    <x v="4"/>
    <x v="2"/>
    <x v="554"/>
    <n v="23"/>
    <x v="1"/>
    <n v="2147.8000000000002"/>
    <x v="0"/>
    <n v="7.0000000000000007E-2"/>
    <x v="0"/>
    <x v="0"/>
  </r>
  <r>
    <x v="1"/>
    <x v="0"/>
    <x v="0"/>
    <x v="555"/>
    <n v="43"/>
    <x v="0"/>
    <n v="4973.38"/>
    <x v="1"/>
    <n v="0.03"/>
    <x v="0"/>
    <x v="0"/>
  </r>
  <r>
    <x v="1"/>
    <x v="2"/>
    <x v="1"/>
    <x v="556"/>
    <n v="19"/>
    <x v="0"/>
    <n v="3781.5499999999902"/>
    <x v="1"/>
    <n v="0.21"/>
    <x v="2"/>
    <x v="1"/>
  </r>
  <r>
    <x v="1"/>
    <x v="1"/>
    <x v="0"/>
    <x v="557"/>
    <n v="19"/>
    <x v="1"/>
    <n v="4258.84"/>
    <x v="1"/>
    <n v="0.03"/>
    <x v="2"/>
    <x v="0"/>
  </r>
  <r>
    <x v="1"/>
    <x v="1"/>
    <x v="1"/>
    <x v="558"/>
    <n v="48"/>
    <x v="2"/>
    <n v="3778.94"/>
    <x v="1"/>
    <n v="0.3"/>
    <x v="0"/>
    <x v="0"/>
  </r>
  <r>
    <x v="1"/>
    <x v="2"/>
    <x v="1"/>
    <x v="559"/>
    <n v="4"/>
    <x v="0"/>
    <n v="1177.75"/>
    <x v="1"/>
    <n v="0.21"/>
    <x v="2"/>
    <x v="1"/>
  </r>
  <r>
    <x v="1"/>
    <x v="0"/>
    <x v="1"/>
    <x v="560"/>
    <n v="16"/>
    <x v="3"/>
    <n v="1189.22"/>
    <x v="1"/>
    <n v="0.26"/>
    <x v="2"/>
    <x v="1"/>
  </r>
  <r>
    <x v="1"/>
    <x v="2"/>
    <x v="3"/>
    <x v="561"/>
    <n v="26"/>
    <x v="1"/>
    <n v="4226.5600000000004"/>
    <x v="1"/>
    <n v="0.28999999999999998"/>
    <x v="1"/>
    <x v="1"/>
  </r>
  <r>
    <x v="1"/>
    <x v="0"/>
    <x v="2"/>
    <x v="562"/>
    <n v="3"/>
    <x v="3"/>
    <n v="1128.9100000000001"/>
    <x v="0"/>
    <n v="0.01"/>
    <x v="0"/>
    <x v="1"/>
  </r>
  <r>
    <x v="2"/>
    <x v="4"/>
    <x v="2"/>
    <x v="563"/>
    <n v="15"/>
    <x v="2"/>
    <n v="4323.62"/>
    <x v="1"/>
    <n v="0.28999999999999998"/>
    <x v="2"/>
    <x v="1"/>
  </r>
  <r>
    <x v="0"/>
    <x v="4"/>
    <x v="1"/>
    <x v="564"/>
    <n v="34"/>
    <x v="3"/>
    <n v="1547.26"/>
    <x v="0"/>
    <n v="0.11"/>
    <x v="0"/>
    <x v="0"/>
  </r>
  <r>
    <x v="1"/>
    <x v="0"/>
    <x v="1"/>
    <x v="565"/>
    <n v="1"/>
    <x v="0"/>
    <n v="4693.8999999999996"/>
    <x v="0"/>
    <n v="0.14000000000000001"/>
    <x v="1"/>
    <x v="1"/>
  </r>
  <r>
    <x v="1"/>
    <x v="0"/>
    <x v="2"/>
    <x v="566"/>
    <n v="4"/>
    <x v="3"/>
    <n v="1619.69"/>
    <x v="1"/>
    <n v="0.05"/>
    <x v="0"/>
    <x v="1"/>
  </r>
  <r>
    <x v="7"/>
    <x v="4"/>
    <x v="1"/>
    <x v="567"/>
    <n v="24"/>
    <x v="1"/>
    <n v="2439.4899999999998"/>
    <x v="1"/>
    <n v="0.2"/>
    <x v="2"/>
    <x v="1"/>
  </r>
  <r>
    <x v="8"/>
    <x v="3"/>
    <x v="0"/>
    <x v="568"/>
    <n v="39"/>
    <x v="3"/>
    <n v="4467.75"/>
    <x v="0"/>
    <n v="0.02"/>
    <x v="2"/>
    <x v="1"/>
  </r>
  <r>
    <x v="8"/>
    <x v="3"/>
    <x v="3"/>
    <x v="569"/>
    <n v="43"/>
    <x v="2"/>
    <n v="1137.44"/>
    <x v="1"/>
    <n v="0.08"/>
    <x v="0"/>
    <x v="0"/>
  </r>
  <r>
    <x v="8"/>
    <x v="2"/>
    <x v="0"/>
    <x v="570"/>
    <n v="21"/>
    <x v="2"/>
    <n v="2869.6"/>
    <x v="0"/>
    <n v="0.28999999999999998"/>
    <x v="0"/>
    <x v="1"/>
  </r>
  <r>
    <x v="8"/>
    <x v="1"/>
    <x v="2"/>
    <x v="571"/>
    <n v="35"/>
    <x v="2"/>
    <n v="3764.52"/>
    <x v="1"/>
    <n v="0.02"/>
    <x v="2"/>
    <x v="0"/>
  </r>
  <r>
    <x v="8"/>
    <x v="3"/>
    <x v="1"/>
    <x v="572"/>
    <n v="16"/>
    <x v="3"/>
    <n v="4422.59"/>
    <x v="0"/>
    <n v="0.24"/>
    <x v="1"/>
    <x v="0"/>
  </r>
  <r>
    <x v="8"/>
    <x v="0"/>
    <x v="1"/>
    <x v="573"/>
    <n v="32"/>
    <x v="0"/>
    <n v="1330.84"/>
    <x v="1"/>
    <n v="0.06"/>
    <x v="1"/>
    <x v="1"/>
  </r>
  <r>
    <x v="4"/>
    <x v="4"/>
    <x v="1"/>
    <x v="574"/>
    <n v="30"/>
    <x v="3"/>
    <n v="1745.52"/>
    <x v="0"/>
    <n v="0.09"/>
    <x v="1"/>
    <x v="1"/>
  </r>
  <r>
    <x v="8"/>
    <x v="1"/>
    <x v="3"/>
    <x v="575"/>
    <n v="21"/>
    <x v="0"/>
    <n v="3765.31"/>
    <x v="0"/>
    <n v="0.08"/>
    <x v="1"/>
    <x v="0"/>
  </r>
  <r>
    <x v="8"/>
    <x v="3"/>
    <x v="3"/>
    <x v="576"/>
    <n v="17"/>
    <x v="0"/>
    <n v="2979.64"/>
    <x v="1"/>
    <n v="0.01"/>
    <x v="1"/>
    <x v="1"/>
  </r>
  <r>
    <x v="8"/>
    <x v="3"/>
    <x v="3"/>
    <x v="577"/>
    <n v="33"/>
    <x v="3"/>
    <n v="918.17"/>
    <x v="1"/>
    <n v="0.11"/>
    <x v="1"/>
    <x v="0"/>
  </r>
  <r>
    <x v="8"/>
    <x v="3"/>
    <x v="0"/>
    <x v="578"/>
    <n v="4"/>
    <x v="1"/>
    <n v="1475.29"/>
    <x v="1"/>
    <n v="0.09"/>
    <x v="0"/>
    <x v="1"/>
  </r>
  <r>
    <x v="8"/>
    <x v="3"/>
    <x v="0"/>
    <x v="579"/>
    <n v="31"/>
    <x v="2"/>
    <n v="1756.34"/>
    <x v="1"/>
    <n v="0.17"/>
    <x v="1"/>
    <x v="1"/>
  </r>
  <r>
    <x v="8"/>
    <x v="1"/>
    <x v="3"/>
    <x v="580"/>
    <n v="5"/>
    <x v="3"/>
    <n v="4454.97"/>
    <x v="0"/>
    <n v="0.14000000000000001"/>
    <x v="2"/>
    <x v="1"/>
  </r>
  <r>
    <x v="8"/>
    <x v="3"/>
    <x v="3"/>
    <x v="581"/>
    <n v="31"/>
    <x v="3"/>
    <n v="2668.02"/>
    <x v="1"/>
    <n v="0.09"/>
    <x v="0"/>
    <x v="1"/>
  </r>
  <r>
    <x v="8"/>
    <x v="1"/>
    <x v="3"/>
    <x v="582"/>
    <n v="21"/>
    <x v="3"/>
    <n v="3192.99"/>
    <x v="0"/>
    <n v="0.17"/>
    <x v="2"/>
    <x v="0"/>
  </r>
  <r>
    <x v="8"/>
    <x v="1"/>
    <x v="2"/>
    <x v="583"/>
    <n v="38"/>
    <x v="3"/>
    <n v="3449.94"/>
    <x v="0"/>
    <n v="0.26"/>
    <x v="1"/>
    <x v="0"/>
  </r>
  <r>
    <x v="8"/>
    <x v="0"/>
    <x v="0"/>
    <x v="584"/>
    <n v="47"/>
    <x v="2"/>
    <n v="4462.3999999999996"/>
    <x v="0"/>
    <n v="0.28000000000000003"/>
    <x v="2"/>
    <x v="1"/>
  </r>
  <r>
    <x v="1"/>
    <x v="4"/>
    <x v="0"/>
    <x v="585"/>
    <n v="44"/>
    <x v="1"/>
    <n v="1462.19"/>
    <x v="0"/>
    <n v="0.24"/>
    <x v="0"/>
    <x v="0"/>
  </r>
  <r>
    <x v="8"/>
    <x v="3"/>
    <x v="2"/>
    <x v="586"/>
    <n v="30"/>
    <x v="1"/>
    <n v="4281.79"/>
    <x v="1"/>
    <n v="0.08"/>
    <x v="0"/>
    <x v="1"/>
  </r>
  <r>
    <x v="2"/>
    <x v="4"/>
    <x v="3"/>
    <x v="587"/>
    <n v="18"/>
    <x v="0"/>
    <n v="3013.49"/>
    <x v="1"/>
    <n v="0.08"/>
    <x v="0"/>
    <x v="0"/>
  </r>
  <r>
    <x v="8"/>
    <x v="3"/>
    <x v="3"/>
    <x v="588"/>
    <n v="20"/>
    <x v="2"/>
    <n v="2303.6999999999998"/>
    <x v="1"/>
    <n v="0.01"/>
    <x v="1"/>
    <x v="1"/>
  </r>
  <r>
    <x v="8"/>
    <x v="2"/>
    <x v="2"/>
    <x v="589"/>
    <n v="17"/>
    <x v="1"/>
    <n v="5037.2699999999904"/>
    <x v="1"/>
    <n v="0.24"/>
    <x v="0"/>
    <x v="1"/>
  </r>
  <r>
    <x v="8"/>
    <x v="4"/>
    <x v="1"/>
    <x v="590"/>
    <n v="25"/>
    <x v="2"/>
    <n v="2707.1099999999901"/>
    <x v="0"/>
    <n v="0.25"/>
    <x v="1"/>
    <x v="1"/>
  </r>
  <r>
    <x v="8"/>
    <x v="0"/>
    <x v="1"/>
    <x v="591"/>
    <n v="16"/>
    <x v="0"/>
    <n v="4633.1000000000004"/>
    <x v="0"/>
    <n v="0.28000000000000003"/>
    <x v="2"/>
    <x v="1"/>
  </r>
  <r>
    <x v="8"/>
    <x v="0"/>
    <x v="2"/>
    <x v="592"/>
    <n v="43"/>
    <x v="3"/>
    <n v="4572.21"/>
    <x v="0"/>
    <n v="0.01"/>
    <x v="1"/>
    <x v="1"/>
  </r>
  <r>
    <x v="8"/>
    <x v="4"/>
    <x v="1"/>
    <x v="593"/>
    <n v="29"/>
    <x v="3"/>
    <n v="2070.52"/>
    <x v="0"/>
    <n v="0.12"/>
    <x v="1"/>
    <x v="0"/>
  </r>
  <r>
    <x v="8"/>
    <x v="0"/>
    <x v="0"/>
    <x v="594"/>
    <n v="30"/>
    <x v="2"/>
    <n v="1558.87"/>
    <x v="1"/>
    <n v="0.28000000000000003"/>
    <x v="2"/>
    <x v="0"/>
  </r>
  <r>
    <x v="7"/>
    <x v="4"/>
    <x v="2"/>
    <x v="595"/>
    <n v="17"/>
    <x v="0"/>
    <n v="4269.0199999999904"/>
    <x v="1"/>
    <n v="0.27"/>
    <x v="0"/>
    <x v="1"/>
  </r>
  <r>
    <x v="8"/>
    <x v="1"/>
    <x v="3"/>
    <x v="596"/>
    <n v="40"/>
    <x v="2"/>
    <n v="595.20000000000005"/>
    <x v="1"/>
    <n v="0.19"/>
    <x v="2"/>
    <x v="0"/>
  </r>
  <r>
    <x v="8"/>
    <x v="2"/>
    <x v="2"/>
    <x v="597"/>
    <n v="9"/>
    <x v="1"/>
    <n v="3216.42"/>
    <x v="0"/>
    <n v="0.17"/>
    <x v="0"/>
    <x v="0"/>
  </r>
  <r>
    <x v="0"/>
    <x v="4"/>
    <x v="0"/>
    <x v="598"/>
    <n v="23"/>
    <x v="0"/>
    <n v="3042.73"/>
    <x v="1"/>
    <n v="0.24"/>
    <x v="2"/>
    <x v="0"/>
  </r>
  <r>
    <x v="8"/>
    <x v="3"/>
    <x v="1"/>
    <x v="599"/>
    <n v="4"/>
    <x v="1"/>
    <n v="548.25"/>
    <x v="0"/>
    <n v="0.17"/>
    <x v="2"/>
    <x v="0"/>
  </r>
  <r>
    <x v="9"/>
    <x v="4"/>
    <x v="3"/>
    <x v="600"/>
    <n v="34"/>
    <x v="0"/>
    <n v="2238.65"/>
    <x v="0"/>
    <n v="0.3"/>
    <x v="2"/>
    <x v="0"/>
  </r>
  <r>
    <x v="8"/>
    <x v="1"/>
    <x v="1"/>
    <x v="601"/>
    <n v="19"/>
    <x v="3"/>
    <n v="445.48"/>
    <x v="0"/>
    <n v="0.28999999999999998"/>
    <x v="0"/>
    <x v="1"/>
  </r>
  <r>
    <x v="8"/>
    <x v="3"/>
    <x v="2"/>
    <x v="602"/>
    <n v="23"/>
    <x v="1"/>
    <n v="4761.1799999999903"/>
    <x v="1"/>
    <n v="0.17"/>
    <x v="2"/>
    <x v="1"/>
  </r>
  <r>
    <x v="8"/>
    <x v="3"/>
    <x v="2"/>
    <x v="603"/>
    <n v="21"/>
    <x v="2"/>
    <n v="4818.95"/>
    <x v="0"/>
    <n v="0"/>
    <x v="2"/>
    <x v="1"/>
  </r>
  <r>
    <x v="8"/>
    <x v="1"/>
    <x v="0"/>
    <x v="604"/>
    <n v="21"/>
    <x v="2"/>
    <n v="1384.3"/>
    <x v="1"/>
    <n v="0.02"/>
    <x v="2"/>
    <x v="1"/>
  </r>
  <r>
    <x v="8"/>
    <x v="2"/>
    <x v="2"/>
    <x v="605"/>
    <n v="18"/>
    <x v="2"/>
    <n v="3822.99"/>
    <x v="1"/>
    <n v="0.09"/>
    <x v="2"/>
    <x v="0"/>
  </r>
  <r>
    <x v="8"/>
    <x v="1"/>
    <x v="1"/>
    <x v="606"/>
    <n v="26"/>
    <x v="2"/>
    <n v="1528.15"/>
    <x v="0"/>
    <n v="7.0000000000000007E-2"/>
    <x v="2"/>
    <x v="1"/>
  </r>
  <r>
    <x v="8"/>
    <x v="3"/>
    <x v="2"/>
    <x v="607"/>
    <n v="4"/>
    <x v="2"/>
    <n v="1871.22"/>
    <x v="1"/>
    <n v="0.12"/>
    <x v="0"/>
    <x v="0"/>
  </r>
  <r>
    <x v="8"/>
    <x v="0"/>
    <x v="3"/>
    <x v="608"/>
    <n v="7"/>
    <x v="2"/>
    <n v="779.32999999999902"/>
    <x v="1"/>
    <n v="0.28000000000000003"/>
    <x v="2"/>
    <x v="0"/>
  </r>
  <r>
    <x v="8"/>
    <x v="0"/>
    <x v="0"/>
    <x v="609"/>
    <n v="47"/>
    <x v="3"/>
    <n v="4976.68"/>
    <x v="1"/>
    <n v="0.18"/>
    <x v="2"/>
    <x v="1"/>
  </r>
  <r>
    <x v="8"/>
    <x v="1"/>
    <x v="3"/>
    <x v="610"/>
    <n v="16"/>
    <x v="0"/>
    <n v="4743.03"/>
    <x v="1"/>
    <n v="0.19"/>
    <x v="1"/>
    <x v="0"/>
  </r>
  <r>
    <x v="8"/>
    <x v="1"/>
    <x v="0"/>
    <x v="611"/>
    <n v="16"/>
    <x v="0"/>
    <n v="3193.76"/>
    <x v="1"/>
    <n v="0.04"/>
    <x v="2"/>
    <x v="0"/>
  </r>
  <r>
    <x v="8"/>
    <x v="4"/>
    <x v="3"/>
    <x v="612"/>
    <n v="20"/>
    <x v="2"/>
    <n v="3563.97"/>
    <x v="1"/>
    <n v="0.25"/>
    <x v="1"/>
    <x v="1"/>
  </r>
  <r>
    <x v="8"/>
    <x v="1"/>
    <x v="0"/>
    <x v="613"/>
    <n v="4"/>
    <x v="0"/>
    <n v="4134.55"/>
    <x v="1"/>
    <n v="0.09"/>
    <x v="0"/>
    <x v="1"/>
  </r>
  <r>
    <x v="5"/>
    <x v="4"/>
    <x v="1"/>
    <x v="614"/>
    <n v="37"/>
    <x v="0"/>
    <n v="1980.06"/>
    <x v="0"/>
    <n v="0.26"/>
    <x v="1"/>
    <x v="0"/>
  </r>
  <r>
    <x v="8"/>
    <x v="2"/>
    <x v="3"/>
    <x v="615"/>
    <n v="42"/>
    <x v="3"/>
    <n v="1414.88"/>
    <x v="0"/>
    <n v="0.17"/>
    <x v="0"/>
    <x v="0"/>
  </r>
  <r>
    <x v="8"/>
    <x v="0"/>
    <x v="2"/>
    <x v="616"/>
    <n v="4"/>
    <x v="0"/>
    <n v="4727.75"/>
    <x v="1"/>
    <n v="0.12"/>
    <x v="2"/>
    <x v="1"/>
  </r>
  <r>
    <x v="8"/>
    <x v="0"/>
    <x v="2"/>
    <x v="617"/>
    <n v="19"/>
    <x v="3"/>
    <n v="584.44000000000005"/>
    <x v="1"/>
    <n v="0.28000000000000003"/>
    <x v="1"/>
    <x v="1"/>
  </r>
  <r>
    <x v="8"/>
    <x v="1"/>
    <x v="1"/>
    <x v="618"/>
    <n v="26"/>
    <x v="3"/>
    <n v="4138.83"/>
    <x v="0"/>
    <n v="0.13"/>
    <x v="2"/>
    <x v="0"/>
  </r>
  <r>
    <x v="8"/>
    <x v="0"/>
    <x v="2"/>
    <x v="619"/>
    <n v="28"/>
    <x v="0"/>
    <n v="2449.64"/>
    <x v="0"/>
    <n v="0.19"/>
    <x v="2"/>
    <x v="0"/>
  </r>
  <r>
    <x v="8"/>
    <x v="0"/>
    <x v="3"/>
    <x v="620"/>
    <n v="42"/>
    <x v="3"/>
    <n v="2638.96"/>
    <x v="0"/>
    <n v="0.1"/>
    <x v="0"/>
    <x v="0"/>
  </r>
  <r>
    <x v="8"/>
    <x v="3"/>
    <x v="2"/>
    <x v="621"/>
    <n v="4"/>
    <x v="1"/>
    <n v="2532.87"/>
    <x v="0"/>
    <n v="0.01"/>
    <x v="2"/>
    <x v="0"/>
  </r>
  <r>
    <x v="8"/>
    <x v="1"/>
    <x v="3"/>
    <x v="622"/>
    <n v="44"/>
    <x v="3"/>
    <n v="5245.86"/>
    <x v="1"/>
    <n v="0.13"/>
    <x v="0"/>
    <x v="1"/>
  </r>
  <r>
    <x v="6"/>
    <x v="4"/>
    <x v="2"/>
    <x v="623"/>
    <n v="35"/>
    <x v="0"/>
    <n v="2121.5500000000002"/>
    <x v="1"/>
    <n v="0.26"/>
    <x v="1"/>
    <x v="1"/>
  </r>
  <r>
    <x v="8"/>
    <x v="0"/>
    <x v="0"/>
    <x v="624"/>
    <n v="27"/>
    <x v="3"/>
    <n v="1454.41"/>
    <x v="1"/>
    <n v="0.3"/>
    <x v="0"/>
    <x v="0"/>
  </r>
  <r>
    <x v="7"/>
    <x v="4"/>
    <x v="3"/>
    <x v="625"/>
    <n v="28"/>
    <x v="1"/>
    <n v="2270.9899999999998"/>
    <x v="0"/>
    <n v="0.13"/>
    <x v="2"/>
    <x v="1"/>
  </r>
  <r>
    <x v="8"/>
    <x v="2"/>
    <x v="2"/>
    <x v="626"/>
    <n v="28"/>
    <x v="3"/>
    <n v="2610.8399999999901"/>
    <x v="1"/>
    <n v="0.27"/>
    <x v="0"/>
    <x v="1"/>
  </r>
  <r>
    <x v="8"/>
    <x v="1"/>
    <x v="0"/>
    <x v="627"/>
    <n v="20"/>
    <x v="1"/>
    <n v="1072.82"/>
    <x v="0"/>
    <n v="0.03"/>
    <x v="0"/>
    <x v="1"/>
  </r>
  <r>
    <x v="8"/>
    <x v="3"/>
    <x v="3"/>
    <x v="628"/>
    <n v="26"/>
    <x v="3"/>
    <n v="4612.49"/>
    <x v="1"/>
    <n v="0.01"/>
    <x v="1"/>
    <x v="1"/>
  </r>
  <r>
    <x v="8"/>
    <x v="3"/>
    <x v="1"/>
    <x v="629"/>
    <n v="2"/>
    <x v="2"/>
    <n v="2994.74"/>
    <x v="1"/>
    <n v="0.18"/>
    <x v="0"/>
    <x v="0"/>
  </r>
  <r>
    <x v="8"/>
    <x v="2"/>
    <x v="0"/>
    <x v="630"/>
    <n v="12"/>
    <x v="2"/>
    <n v="1545.02"/>
    <x v="0"/>
    <n v="0.03"/>
    <x v="0"/>
    <x v="1"/>
  </r>
  <r>
    <x v="5"/>
    <x v="4"/>
    <x v="2"/>
    <x v="631"/>
    <n v="29"/>
    <x v="3"/>
    <n v="2475.9299999999998"/>
    <x v="1"/>
    <n v="0.22"/>
    <x v="0"/>
    <x v="0"/>
  </r>
  <r>
    <x v="3"/>
    <x v="4"/>
    <x v="3"/>
    <x v="632"/>
    <n v="43"/>
    <x v="0"/>
    <n v="1430.45"/>
    <x v="0"/>
    <n v="0.08"/>
    <x v="0"/>
    <x v="1"/>
  </r>
  <r>
    <x v="11"/>
    <x v="4"/>
    <x v="0"/>
    <x v="633"/>
    <n v="34"/>
    <x v="0"/>
    <n v="1993.4"/>
    <x v="1"/>
    <n v="0.15"/>
    <x v="2"/>
    <x v="0"/>
  </r>
  <r>
    <x v="8"/>
    <x v="1"/>
    <x v="3"/>
    <x v="634"/>
    <n v="12"/>
    <x v="3"/>
    <n v="876.46"/>
    <x v="1"/>
    <n v="0.03"/>
    <x v="2"/>
    <x v="0"/>
  </r>
  <r>
    <x v="8"/>
    <x v="2"/>
    <x v="3"/>
    <x v="635"/>
    <n v="45"/>
    <x v="3"/>
    <n v="4985.75"/>
    <x v="1"/>
    <n v="0.2"/>
    <x v="0"/>
    <x v="0"/>
  </r>
  <r>
    <x v="10"/>
    <x v="4"/>
    <x v="3"/>
    <x v="636"/>
    <n v="19"/>
    <x v="1"/>
    <n v="3844.51"/>
    <x v="0"/>
    <n v="0.21"/>
    <x v="2"/>
    <x v="0"/>
  </r>
  <r>
    <x v="8"/>
    <x v="2"/>
    <x v="0"/>
    <x v="637"/>
    <n v="41"/>
    <x v="3"/>
    <n v="4163.68"/>
    <x v="0"/>
    <n v="0.12"/>
    <x v="0"/>
    <x v="1"/>
  </r>
  <r>
    <x v="8"/>
    <x v="3"/>
    <x v="0"/>
    <x v="638"/>
    <n v="5"/>
    <x v="2"/>
    <n v="488.23"/>
    <x v="1"/>
    <n v="7.0000000000000007E-2"/>
    <x v="2"/>
    <x v="1"/>
  </r>
  <r>
    <x v="8"/>
    <x v="3"/>
    <x v="1"/>
    <x v="639"/>
    <n v="14"/>
    <x v="2"/>
    <n v="735.95"/>
    <x v="1"/>
    <n v="0.21"/>
    <x v="1"/>
    <x v="1"/>
  </r>
  <r>
    <x v="8"/>
    <x v="2"/>
    <x v="1"/>
    <x v="640"/>
    <n v="43"/>
    <x v="2"/>
    <n v="4724.7"/>
    <x v="0"/>
    <n v="0.1"/>
    <x v="0"/>
    <x v="1"/>
  </r>
  <r>
    <x v="8"/>
    <x v="0"/>
    <x v="1"/>
    <x v="641"/>
    <n v="29"/>
    <x v="3"/>
    <n v="1596.6499999999901"/>
    <x v="1"/>
    <n v="7.0000000000000007E-2"/>
    <x v="1"/>
    <x v="0"/>
  </r>
  <r>
    <x v="8"/>
    <x v="3"/>
    <x v="2"/>
    <x v="642"/>
    <n v="27"/>
    <x v="3"/>
    <n v="4147.1099999999997"/>
    <x v="0"/>
    <n v="0.22"/>
    <x v="1"/>
    <x v="0"/>
  </r>
  <r>
    <x v="8"/>
    <x v="3"/>
    <x v="3"/>
    <x v="643"/>
    <n v="20"/>
    <x v="2"/>
    <n v="999.18"/>
    <x v="0"/>
    <n v="0.1"/>
    <x v="0"/>
    <x v="0"/>
  </r>
  <r>
    <x v="8"/>
    <x v="1"/>
    <x v="2"/>
    <x v="644"/>
    <n v="43"/>
    <x v="0"/>
    <n v="1674.97"/>
    <x v="0"/>
    <n v="0.03"/>
    <x v="2"/>
    <x v="0"/>
  </r>
  <r>
    <x v="8"/>
    <x v="1"/>
    <x v="2"/>
    <x v="645"/>
    <n v="8"/>
    <x v="3"/>
    <n v="3891.62"/>
    <x v="1"/>
    <n v="0.26"/>
    <x v="0"/>
    <x v="0"/>
  </r>
  <r>
    <x v="8"/>
    <x v="4"/>
    <x v="2"/>
    <x v="646"/>
    <n v="45"/>
    <x v="3"/>
    <n v="1547.35"/>
    <x v="0"/>
    <n v="0.17"/>
    <x v="1"/>
    <x v="1"/>
  </r>
  <r>
    <x v="8"/>
    <x v="1"/>
    <x v="1"/>
    <x v="647"/>
    <n v="43"/>
    <x v="0"/>
    <n v="3231.32"/>
    <x v="1"/>
    <n v="0.22"/>
    <x v="1"/>
    <x v="1"/>
  </r>
  <r>
    <x v="8"/>
    <x v="3"/>
    <x v="3"/>
    <x v="648"/>
    <n v="34"/>
    <x v="1"/>
    <n v="3564.19"/>
    <x v="1"/>
    <n v="0.09"/>
    <x v="1"/>
    <x v="0"/>
  </r>
  <r>
    <x v="8"/>
    <x v="0"/>
    <x v="0"/>
    <x v="649"/>
    <n v="46"/>
    <x v="0"/>
    <n v="4879.1499999999996"/>
    <x v="1"/>
    <n v="0.3"/>
    <x v="1"/>
    <x v="1"/>
  </r>
  <r>
    <x v="8"/>
    <x v="1"/>
    <x v="3"/>
    <x v="650"/>
    <n v="25"/>
    <x v="1"/>
    <n v="258.91999999999899"/>
    <x v="0"/>
    <n v="0.17"/>
    <x v="2"/>
    <x v="0"/>
  </r>
  <r>
    <x v="8"/>
    <x v="3"/>
    <x v="1"/>
    <x v="651"/>
    <n v="38"/>
    <x v="3"/>
    <n v="336.37"/>
    <x v="0"/>
    <n v="0.28000000000000003"/>
    <x v="2"/>
    <x v="1"/>
  </r>
  <r>
    <x v="10"/>
    <x v="4"/>
    <x v="3"/>
    <x v="652"/>
    <n v="45"/>
    <x v="0"/>
    <n v="1814.63"/>
    <x v="0"/>
    <n v="0.28999999999999998"/>
    <x v="0"/>
    <x v="1"/>
  </r>
  <r>
    <x v="8"/>
    <x v="2"/>
    <x v="2"/>
    <x v="653"/>
    <n v="43"/>
    <x v="0"/>
    <n v="2581"/>
    <x v="0"/>
    <n v="0.05"/>
    <x v="0"/>
    <x v="0"/>
  </r>
  <r>
    <x v="8"/>
    <x v="1"/>
    <x v="1"/>
    <x v="654"/>
    <n v="25"/>
    <x v="1"/>
    <n v="1454.68"/>
    <x v="1"/>
    <n v="0.06"/>
    <x v="2"/>
    <x v="0"/>
  </r>
  <r>
    <x v="2"/>
    <x v="4"/>
    <x v="2"/>
    <x v="655"/>
    <n v="49"/>
    <x v="3"/>
    <n v="1429.4399999999901"/>
    <x v="0"/>
    <n v="0.16"/>
    <x v="1"/>
    <x v="0"/>
  </r>
  <r>
    <x v="8"/>
    <x v="4"/>
    <x v="3"/>
    <x v="656"/>
    <n v="29"/>
    <x v="0"/>
    <n v="2197.42"/>
    <x v="0"/>
    <n v="7.0000000000000007E-2"/>
    <x v="0"/>
    <x v="1"/>
  </r>
  <r>
    <x v="8"/>
    <x v="1"/>
    <x v="1"/>
    <x v="657"/>
    <n v="1"/>
    <x v="1"/>
    <n v="2333.19"/>
    <x v="0"/>
    <n v="0.01"/>
    <x v="1"/>
    <x v="1"/>
  </r>
  <r>
    <x v="8"/>
    <x v="0"/>
    <x v="3"/>
    <x v="658"/>
    <n v="36"/>
    <x v="3"/>
    <n v="3125.01"/>
    <x v="0"/>
    <n v="0.24"/>
    <x v="1"/>
    <x v="0"/>
  </r>
  <r>
    <x v="8"/>
    <x v="1"/>
    <x v="2"/>
    <x v="659"/>
    <n v="18"/>
    <x v="3"/>
    <n v="641.17999999999995"/>
    <x v="0"/>
    <n v="0.13"/>
    <x v="1"/>
    <x v="0"/>
  </r>
  <r>
    <x v="8"/>
    <x v="1"/>
    <x v="1"/>
    <x v="660"/>
    <n v="48"/>
    <x v="2"/>
    <n v="2926.68"/>
    <x v="1"/>
    <n v="0.14000000000000001"/>
    <x v="1"/>
    <x v="0"/>
  </r>
  <r>
    <x v="9"/>
    <x v="4"/>
    <x v="0"/>
    <x v="661"/>
    <n v="22"/>
    <x v="2"/>
    <n v="3454.76"/>
    <x v="1"/>
    <n v="0.22"/>
    <x v="0"/>
    <x v="1"/>
  </r>
  <r>
    <x v="10"/>
    <x v="2"/>
    <x v="0"/>
    <x v="662"/>
    <n v="44"/>
    <x v="2"/>
    <n v="2406.58"/>
    <x v="1"/>
    <n v="0.06"/>
    <x v="0"/>
    <x v="1"/>
  </r>
  <r>
    <x v="10"/>
    <x v="3"/>
    <x v="2"/>
    <x v="663"/>
    <n v="49"/>
    <x v="2"/>
    <n v="3146.6"/>
    <x v="0"/>
    <n v="0.08"/>
    <x v="1"/>
    <x v="1"/>
  </r>
  <r>
    <x v="3"/>
    <x v="4"/>
    <x v="0"/>
    <x v="664"/>
    <n v="23"/>
    <x v="0"/>
    <n v="3360.4"/>
    <x v="1"/>
    <n v="0.22"/>
    <x v="0"/>
    <x v="1"/>
  </r>
  <r>
    <x v="10"/>
    <x v="2"/>
    <x v="2"/>
    <x v="665"/>
    <n v="4"/>
    <x v="0"/>
    <n v="2910.5099999999902"/>
    <x v="0"/>
    <n v="0.22"/>
    <x v="2"/>
    <x v="1"/>
  </r>
  <r>
    <x v="0"/>
    <x v="4"/>
    <x v="2"/>
    <x v="666"/>
    <n v="36"/>
    <x v="3"/>
    <n v="2329.37"/>
    <x v="0"/>
    <n v="0.28000000000000003"/>
    <x v="2"/>
    <x v="1"/>
  </r>
  <r>
    <x v="10"/>
    <x v="3"/>
    <x v="0"/>
    <x v="667"/>
    <n v="48"/>
    <x v="2"/>
    <n v="2486.14"/>
    <x v="0"/>
    <n v="0.03"/>
    <x v="1"/>
    <x v="1"/>
  </r>
  <r>
    <x v="10"/>
    <x v="0"/>
    <x v="2"/>
    <x v="668"/>
    <n v="12"/>
    <x v="3"/>
    <n v="4856.2199999999903"/>
    <x v="1"/>
    <n v="0.15"/>
    <x v="1"/>
    <x v="1"/>
  </r>
  <r>
    <x v="10"/>
    <x v="0"/>
    <x v="0"/>
    <x v="669"/>
    <n v="23"/>
    <x v="1"/>
    <n v="1032.22"/>
    <x v="0"/>
    <n v="0.25"/>
    <x v="1"/>
    <x v="1"/>
  </r>
  <r>
    <x v="10"/>
    <x v="2"/>
    <x v="3"/>
    <x v="670"/>
    <n v="25"/>
    <x v="2"/>
    <n v="2027.74"/>
    <x v="0"/>
    <n v="0.02"/>
    <x v="0"/>
    <x v="1"/>
  </r>
  <r>
    <x v="9"/>
    <x v="4"/>
    <x v="0"/>
    <x v="671"/>
    <n v="32"/>
    <x v="3"/>
    <n v="1948.46"/>
    <x v="0"/>
    <n v="0.02"/>
    <x v="2"/>
    <x v="0"/>
  </r>
  <r>
    <x v="10"/>
    <x v="1"/>
    <x v="1"/>
    <x v="672"/>
    <n v="9"/>
    <x v="2"/>
    <n v="4548.09"/>
    <x v="1"/>
    <n v="0.12"/>
    <x v="2"/>
    <x v="1"/>
  </r>
  <r>
    <x v="10"/>
    <x v="0"/>
    <x v="0"/>
    <x v="673"/>
    <n v="39"/>
    <x v="2"/>
    <n v="2889.67"/>
    <x v="1"/>
    <n v="0.25"/>
    <x v="1"/>
    <x v="0"/>
  </r>
  <r>
    <x v="10"/>
    <x v="2"/>
    <x v="3"/>
    <x v="674"/>
    <n v="17"/>
    <x v="1"/>
    <n v="4262.21"/>
    <x v="0"/>
    <n v="0.17"/>
    <x v="1"/>
    <x v="0"/>
  </r>
  <r>
    <x v="10"/>
    <x v="0"/>
    <x v="2"/>
    <x v="675"/>
    <n v="26"/>
    <x v="3"/>
    <n v="4770.42"/>
    <x v="0"/>
    <n v="0.01"/>
    <x v="2"/>
    <x v="1"/>
  </r>
  <r>
    <x v="10"/>
    <x v="2"/>
    <x v="3"/>
    <x v="676"/>
    <n v="47"/>
    <x v="3"/>
    <n v="2693.33"/>
    <x v="0"/>
    <n v="0.18"/>
    <x v="0"/>
    <x v="0"/>
  </r>
  <r>
    <x v="10"/>
    <x v="3"/>
    <x v="3"/>
    <x v="677"/>
    <n v="15"/>
    <x v="3"/>
    <n v="3388.8399999999901"/>
    <x v="1"/>
    <n v="0.09"/>
    <x v="2"/>
    <x v="1"/>
  </r>
  <r>
    <x v="10"/>
    <x v="0"/>
    <x v="0"/>
    <x v="678"/>
    <n v="36"/>
    <x v="0"/>
    <n v="1485.75"/>
    <x v="0"/>
    <n v="0.25"/>
    <x v="2"/>
    <x v="0"/>
  </r>
  <r>
    <x v="10"/>
    <x v="2"/>
    <x v="2"/>
    <x v="679"/>
    <n v="40"/>
    <x v="0"/>
    <n v="1075.8900000000001"/>
    <x v="0"/>
    <n v="0.28000000000000003"/>
    <x v="2"/>
    <x v="1"/>
  </r>
  <r>
    <x v="10"/>
    <x v="0"/>
    <x v="1"/>
    <x v="680"/>
    <n v="14"/>
    <x v="2"/>
    <n v="1438.76"/>
    <x v="1"/>
    <n v="0.03"/>
    <x v="0"/>
    <x v="0"/>
  </r>
  <r>
    <x v="10"/>
    <x v="2"/>
    <x v="1"/>
    <x v="681"/>
    <n v="48"/>
    <x v="0"/>
    <n v="665.07"/>
    <x v="1"/>
    <n v="0.01"/>
    <x v="0"/>
    <x v="1"/>
  </r>
  <r>
    <x v="10"/>
    <x v="2"/>
    <x v="1"/>
    <x v="682"/>
    <n v="4"/>
    <x v="3"/>
    <n v="3893.6"/>
    <x v="0"/>
    <n v="0.25"/>
    <x v="0"/>
    <x v="1"/>
  </r>
  <r>
    <x v="10"/>
    <x v="3"/>
    <x v="2"/>
    <x v="683"/>
    <n v="26"/>
    <x v="1"/>
    <n v="2002.95"/>
    <x v="1"/>
    <n v="0.28999999999999998"/>
    <x v="2"/>
    <x v="1"/>
  </r>
  <r>
    <x v="9"/>
    <x v="4"/>
    <x v="0"/>
    <x v="684"/>
    <n v="45"/>
    <x v="3"/>
    <n v="1703.6399999999901"/>
    <x v="0"/>
    <n v="0.2"/>
    <x v="0"/>
    <x v="1"/>
  </r>
  <r>
    <x v="10"/>
    <x v="4"/>
    <x v="2"/>
    <x v="685"/>
    <n v="45"/>
    <x v="3"/>
    <n v="1868.32"/>
    <x v="1"/>
    <n v="0.24"/>
    <x v="1"/>
    <x v="1"/>
  </r>
  <r>
    <x v="10"/>
    <x v="3"/>
    <x v="0"/>
    <x v="686"/>
    <n v="5"/>
    <x v="0"/>
    <n v="2385.48"/>
    <x v="1"/>
    <n v="0.15"/>
    <x v="2"/>
    <x v="0"/>
  </r>
  <r>
    <x v="1"/>
    <x v="4"/>
    <x v="2"/>
    <x v="687"/>
    <n v="28"/>
    <x v="2"/>
    <n v="2765.79"/>
    <x v="1"/>
    <n v="0.17"/>
    <x v="2"/>
    <x v="0"/>
  </r>
  <r>
    <x v="10"/>
    <x v="0"/>
    <x v="1"/>
    <x v="688"/>
    <n v="47"/>
    <x v="2"/>
    <n v="1805.56"/>
    <x v="0"/>
    <n v="0.26"/>
    <x v="2"/>
    <x v="1"/>
  </r>
  <r>
    <x v="10"/>
    <x v="3"/>
    <x v="1"/>
    <x v="689"/>
    <n v="35"/>
    <x v="3"/>
    <n v="3631.75"/>
    <x v="1"/>
    <n v="0.27"/>
    <x v="2"/>
    <x v="0"/>
  </r>
  <r>
    <x v="10"/>
    <x v="2"/>
    <x v="3"/>
    <x v="690"/>
    <n v="12"/>
    <x v="1"/>
    <n v="2971.75"/>
    <x v="1"/>
    <n v="0.24"/>
    <x v="1"/>
    <x v="0"/>
  </r>
  <r>
    <x v="10"/>
    <x v="1"/>
    <x v="3"/>
    <x v="691"/>
    <n v="16"/>
    <x v="0"/>
    <n v="1258.3"/>
    <x v="1"/>
    <n v="0.14000000000000001"/>
    <x v="0"/>
    <x v="0"/>
  </r>
  <r>
    <x v="8"/>
    <x v="4"/>
    <x v="0"/>
    <x v="692"/>
    <n v="42"/>
    <x v="1"/>
    <n v="2047.13"/>
    <x v="0"/>
    <n v="0.25"/>
    <x v="1"/>
    <x v="1"/>
  </r>
  <r>
    <x v="7"/>
    <x v="4"/>
    <x v="1"/>
    <x v="693"/>
    <n v="40"/>
    <x v="2"/>
    <n v="1875.75"/>
    <x v="0"/>
    <n v="0.13"/>
    <x v="1"/>
    <x v="1"/>
  </r>
  <r>
    <x v="10"/>
    <x v="0"/>
    <x v="3"/>
    <x v="694"/>
    <n v="37"/>
    <x v="1"/>
    <n v="4313.45"/>
    <x v="0"/>
    <n v="0.16"/>
    <x v="1"/>
    <x v="0"/>
  </r>
  <r>
    <x v="10"/>
    <x v="2"/>
    <x v="2"/>
    <x v="695"/>
    <n v="19"/>
    <x v="1"/>
    <n v="2257.92"/>
    <x v="0"/>
    <n v="0.12"/>
    <x v="1"/>
    <x v="1"/>
  </r>
  <r>
    <x v="10"/>
    <x v="3"/>
    <x v="3"/>
    <x v="696"/>
    <n v="27"/>
    <x v="1"/>
    <n v="2604.06"/>
    <x v="1"/>
    <n v="0.16"/>
    <x v="1"/>
    <x v="0"/>
  </r>
  <r>
    <x v="10"/>
    <x v="0"/>
    <x v="3"/>
    <x v="697"/>
    <n v="29"/>
    <x v="1"/>
    <n v="3635.02"/>
    <x v="0"/>
    <n v="0.2"/>
    <x v="0"/>
    <x v="1"/>
  </r>
  <r>
    <x v="10"/>
    <x v="1"/>
    <x v="1"/>
    <x v="698"/>
    <n v="30"/>
    <x v="2"/>
    <n v="381.91999999999899"/>
    <x v="1"/>
    <n v="0.26"/>
    <x v="1"/>
    <x v="1"/>
  </r>
  <r>
    <x v="10"/>
    <x v="2"/>
    <x v="2"/>
    <x v="699"/>
    <n v="20"/>
    <x v="3"/>
    <n v="297.69"/>
    <x v="0"/>
    <n v="0.22"/>
    <x v="1"/>
    <x v="0"/>
  </r>
  <r>
    <x v="10"/>
    <x v="1"/>
    <x v="2"/>
    <x v="700"/>
    <n v="23"/>
    <x v="1"/>
    <n v="1543.38"/>
    <x v="0"/>
    <n v="0.1"/>
    <x v="0"/>
    <x v="0"/>
  </r>
  <r>
    <x v="10"/>
    <x v="0"/>
    <x v="2"/>
    <x v="701"/>
    <n v="11"/>
    <x v="1"/>
    <n v="552.29"/>
    <x v="1"/>
    <n v="0.18"/>
    <x v="1"/>
    <x v="1"/>
  </r>
  <r>
    <x v="4"/>
    <x v="4"/>
    <x v="0"/>
    <x v="702"/>
    <n v="35"/>
    <x v="2"/>
    <n v="2254.84"/>
    <x v="0"/>
    <n v="0.16"/>
    <x v="2"/>
    <x v="0"/>
  </r>
  <r>
    <x v="10"/>
    <x v="3"/>
    <x v="2"/>
    <x v="703"/>
    <n v="7"/>
    <x v="3"/>
    <n v="2847.76"/>
    <x v="0"/>
    <n v="0.22"/>
    <x v="1"/>
    <x v="1"/>
  </r>
  <r>
    <x v="10"/>
    <x v="3"/>
    <x v="2"/>
    <x v="704"/>
    <n v="42"/>
    <x v="0"/>
    <n v="3967.6899999999901"/>
    <x v="0"/>
    <n v="0.14000000000000001"/>
    <x v="0"/>
    <x v="0"/>
  </r>
  <r>
    <x v="10"/>
    <x v="2"/>
    <x v="2"/>
    <x v="705"/>
    <n v="17"/>
    <x v="1"/>
    <n v="528.49"/>
    <x v="0"/>
    <n v="0.13"/>
    <x v="2"/>
    <x v="0"/>
  </r>
  <r>
    <x v="11"/>
    <x v="4"/>
    <x v="1"/>
    <x v="706"/>
    <n v="21"/>
    <x v="3"/>
    <n v="3254.5499999999902"/>
    <x v="0"/>
    <n v="0.02"/>
    <x v="2"/>
    <x v="1"/>
  </r>
  <r>
    <x v="10"/>
    <x v="1"/>
    <x v="1"/>
    <x v="707"/>
    <n v="26"/>
    <x v="1"/>
    <n v="2202.87"/>
    <x v="1"/>
    <n v="0.11"/>
    <x v="1"/>
    <x v="0"/>
  </r>
  <r>
    <x v="10"/>
    <x v="0"/>
    <x v="1"/>
    <x v="708"/>
    <n v="40"/>
    <x v="3"/>
    <n v="4521.57"/>
    <x v="0"/>
    <n v="0.27"/>
    <x v="0"/>
    <x v="1"/>
  </r>
  <r>
    <x v="2"/>
    <x v="4"/>
    <x v="2"/>
    <x v="709"/>
    <n v="34"/>
    <x v="0"/>
    <n v="2521.77"/>
    <x v="0"/>
    <n v="0.21"/>
    <x v="0"/>
    <x v="1"/>
  </r>
  <r>
    <x v="10"/>
    <x v="2"/>
    <x v="3"/>
    <x v="710"/>
    <n v="41"/>
    <x v="3"/>
    <n v="2073.88"/>
    <x v="1"/>
    <n v="0.27"/>
    <x v="1"/>
    <x v="1"/>
  </r>
  <r>
    <x v="10"/>
    <x v="2"/>
    <x v="0"/>
    <x v="711"/>
    <n v="32"/>
    <x v="2"/>
    <n v="1236.0999999999999"/>
    <x v="0"/>
    <n v="0.12"/>
    <x v="2"/>
    <x v="0"/>
  </r>
  <r>
    <x v="10"/>
    <x v="3"/>
    <x v="3"/>
    <x v="712"/>
    <n v="40"/>
    <x v="0"/>
    <n v="4275.96"/>
    <x v="0"/>
    <n v="0.23"/>
    <x v="2"/>
    <x v="0"/>
  </r>
  <r>
    <x v="10"/>
    <x v="3"/>
    <x v="0"/>
    <x v="713"/>
    <n v="28"/>
    <x v="3"/>
    <n v="817.36"/>
    <x v="1"/>
    <n v="0.02"/>
    <x v="1"/>
    <x v="1"/>
  </r>
  <r>
    <x v="10"/>
    <x v="3"/>
    <x v="1"/>
    <x v="714"/>
    <n v="14"/>
    <x v="2"/>
    <n v="4879.8799999999901"/>
    <x v="0"/>
    <n v="0.24"/>
    <x v="0"/>
    <x v="1"/>
  </r>
  <r>
    <x v="10"/>
    <x v="3"/>
    <x v="1"/>
    <x v="715"/>
    <n v="45"/>
    <x v="3"/>
    <n v="2255.0499999999902"/>
    <x v="0"/>
    <n v="0.11"/>
    <x v="0"/>
    <x v="1"/>
  </r>
  <r>
    <x v="10"/>
    <x v="3"/>
    <x v="0"/>
    <x v="716"/>
    <n v="16"/>
    <x v="1"/>
    <n v="5043.3599999999997"/>
    <x v="1"/>
    <n v="0.14000000000000001"/>
    <x v="2"/>
    <x v="1"/>
  </r>
  <r>
    <x v="10"/>
    <x v="0"/>
    <x v="2"/>
    <x v="717"/>
    <n v="32"/>
    <x v="1"/>
    <n v="806.14"/>
    <x v="1"/>
    <n v="0.22"/>
    <x v="2"/>
    <x v="1"/>
  </r>
  <r>
    <x v="10"/>
    <x v="0"/>
    <x v="2"/>
    <x v="718"/>
    <n v="9"/>
    <x v="1"/>
    <n v="4869.5"/>
    <x v="0"/>
    <n v="7.0000000000000007E-2"/>
    <x v="1"/>
    <x v="0"/>
  </r>
  <r>
    <x v="10"/>
    <x v="1"/>
    <x v="3"/>
    <x v="719"/>
    <n v="44"/>
    <x v="0"/>
    <n v="3465.35"/>
    <x v="1"/>
    <n v="0.12"/>
    <x v="0"/>
    <x v="0"/>
  </r>
  <r>
    <x v="10"/>
    <x v="1"/>
    <x v="0"/>
    <x v="720"/>
    <n v="17"/>
    <x v="1"/>
    <n v="1575.59"/>
    <x v="0"/>
    <n v="0.3"/>
    <x v="1"/>
    <x v="0"/>
  </r>
  <r>
    <x v="5"/>
    <x v="4"/>
    <x v="0"/>
    <x v="721"/>
    <n v="30"/>
    <x v="2"/>
    <n v="3027.9199999999901"/>
    <x v="1"/>
    <n v="0.25"/>
    <x v="0"/>
    <x v="0"/>
  </r>
  <r>
    <x v="10"/>
    <x v="0"/>
    <x v="0"/>
    <x v="722"/>
    <n v="27"/>
    <x v="3"/>
    <n v="4820.2"/>
    <x v="0"/>
    <n v="0.14000000000000001"/>
    <x v="2"/>
    <x v="1"/>
  </r>
  <r>
    <x v="10"/>
    <x v="2"/>
    <x v="2"/>
    <x v="723"/>
    <n v="8"/>
    <x v="0"/>
    <n v="1829.1599999999901"/>
    <x v="1"/>
    <n v="0.15"/>
    <x v="1"/>
    <x v="0"/>
  </r>
  <r>
    <x v="10"/>
    <x v="0"/>
    <x v="0"/>
    <x v="724"/>
    <n v="6"/>
    <x v="2"/>
    <n v="385.83"/>
    <x v="1"/>
    <n v="0.1"/>
    <x v="1"/>
    <x v="1"/>
  </r>
  <r>
    <x v="10"/>
    <x v="2"/>
    <x v="3"/>
    <x v="725"/>
    <n v="45"/>
    <x v="3"/>
    <n v="3036.18"/>
    <x v="0"/>
    <n v="0.05"/>
    <x v="0"/>
    <x v="1"/>
  </r>
  <r>
    <x v="10"/>
    <x v="2"/>
    <x v="0"/>
    <x v="726"/>
    <n v="25"/>
    <x v="2"/>
    <n v="3027.0099999999902"/>
    <x v="0"/>
    <n v="0.23"/>
    <x v="1"/>
    <x v="0"/>
  </r>
  <r>
    <x v="10"/>
    <x v="1"/>
    <x v="2"/>
    <x v="727"/>
    <n v="30"/>
    <x v="0"/>
    <n v="678.04"/>
    <x v="1"/>
    <n v="0.08"/>
    <x v="1"/>
    <x v="1"/>
  </r>
  <r>
    <x v="10"/>
    <x v="3"/>
    <x v="2"/>
    <x v="728"/>
    <n v="37"/>
    <x v="3"/>
    <n v="1856.3999999999901"/>
    <x v="0"/>
    <n v="0.21"/>
    <x v="0"/>
    <x v="1"/>
  </r>
  <r>
    <x v="2"/>
    <x v="2"/>
    <x v="3"/>
    <x v="729"/>
    <n v="18"/>
    <x v="3"/>
    <n v="2682.34"/>
    <x v="0"/>
    <n v="0.13"/>
    <x v="0"/>
    <x v="0"/>
  </r>
  <r>
    <x v="2"/>
    <x v="3"/>
    <x v="2"/>
    <x v="730"/>
    <n v="48"/>
    <x v="0"/>
    <n v="487.65"/>
    <x v="0"/>
    <n v="0.18"/>
    <x v="1"/>
    <x v="1"/>
  </r>
  <r>
    <x v="2"/>
    <x v="3"/>
    <x v="1"/>
    <x v="731"/>
    <n v="40"/>
    <x v="1"/>
    <n v="5034.3500000000004"/>
    <x v="0"/>
    <n v="0.1"/>
    <x v="2"/>
    <x v="1"/>
  </r>
  <r>
    <x v="7"/>
    <x v="4"/>
    <x v="2"/>
    <x v="732"/>
    <n v="43"/>
    <x v="1"/>
    <n v="1727.15"/>
    <x v="0"/>
    <n v="0.08"/>
    <x v="1"/>
    <x v="1"/>
  </r>
  <r>
    <x v="2"/>
    <x v="4"/>
    <x v="3"/>
    <x v="733"/>
    <n v="31"/>
    <x v="3"/>
    <n v="2766.51"/>
    <x v="0"/>
    <n v="0.19"/>
    <x v="1"/>
    <x v="1"/>
  </r>
  <r>
    <x v="2"/>
    <x v="4"/>
    <x v="1"/>
    <x v="734"/>
    <n v="46"/>
    <x v="1"/>
    <n v="1670.36"/>
    <x v="1"/>
    <n v="0.09"/>
    <x v="2"/>
    <x v="1"/>
  </r>
  <r>
    <x v="2"/>
    <x v="3"/>
    <x v="3"/>
    <x v="735"/>
    <n v="46"/>
    <x v="3"/>
    <n v="1830.27"/>
    <x v="0"/>
    <n v="0.15"/>
    <x v="0"/>
    <x v="1"/>
  </r>
  <r>
    <x v="2"/>
    <x v="0"/>
    <x v="3"/>
    <x v="736"/>
    <n v="24"/>
    <x v="1"/>
    <n v="1739.45"/>
    <x v="1"/>
    <n v="0.21"/>
    <x v="0"/>
    <x v="1"/>
  </r>
  <r>
    <x v="2"/>
    <x v="0"/>
    <x v="3"/>
    <x v="737"/>
    <n v="16"/>
    <x v="0"/>
    <n v="3040.73"/>
    <x v="0"/>
    <n v="0.26"/>
    <x v="0"/>
    <x v="1"/>
  </r>
  <r>
    <x v="2"/>
    <x v="2"/>
    <x v="0"/>
    <x v="738"/>
    <n v="45"/>
    <x v="3"/>
    <n v="4381.8900000000003"/>
    <x v="1"/>
    <n v="0.02"/>
    <x v="2"/>
    <x v="1"/>
  </r>
  <r>
    <x v="10"/>
    <x v="4"/>
    <x v="1"/>
    <x v="739"/>
    <n v="22"/>
    <x v="2"/>
    <n v="4331.42"/>
    <x v="0"/>
    <n v="0.26"/>
    <x v="0"/>
    <x v="0"/>
  </r>
  <r>
    <x v="2"/>
    <x v="2"/>
    <x v="2"/>
    <x v="740"/>
    <n v="42"/>
    <x v="1"/>
    <n v="3349.37"/>
    <x v="1"/>
    <n v="0.13"/>
    <x v="2"/>
    <x v="1"/>
  </r>
  <r>
    <x v="2"/>
    <x v="2"/>
    <x v="2"/>
    <x v="741"/>
    <n v="23"/>
    <x v="2"/>
    <n v="3007.53"/>
    <x v="1"/>
    <n v="0.03"/>
    <x v="1"/>
    <x v="1"/>
  </r>
  <r>
    <x v="2"/>
    <x v="2"/>
    <x v="2"/>
    <x v="742"/>
    <n v="4"/>
    <x v="3"/>
    <n v="1201.3900000000001"/>
    <x v="0"/>
    <n v="0.3"/>
    <x v="0"/>
    <x v="1"/>
  </r>
  <r>
    <x v="2"/>
    <x v="4"/>
    <x v="3"/>
    <x v="743"/>
    <n v="41"/>
    <x v="1"/>
    <n v="1792.83"/>
    <x v="0"/>
    <n v="0.04"/>
    <x v="1"/>
    <x v="1"/>
  </r>
  <r>
    <x v="2"/>
    <x v="1"/>
    <x v="3"/>
    <x v="744"/>
    <n v="22"/>
    <x v="1"/>
    <n v="3185.81"/>
    <x v="0"/>
    <n v="0.01"/>
    <x v="0"/>
    <x v="0"/>
  </r>
  <r>
    <x v="2"/>
    <x v="0"/>
    <x v="3"/>
    <x v="745"/>
    <n v="23"/>
    <x v="2"/>
    <n v="2597.67"/>
    <x v="1"/>
    <n v="0.26"/>
    <x v="2"/>
    <x v="1"/>
  </r>
  <r>
    <x v="2"/>
    <x v="3"/>
    <x v="1"/>
    <x v="746"/>
    <n v="4"/>
    <x v="1"/>
    <n v="2034.1499999999901"/>
    <x v="1"/>
    <n v="0.21"/>
    <x v="1"/>
    <x v="0"/>
  </r>
  <r>
    <x v="2"/>
    <x v="1"/>
    <x v="1"/>
    <x v="747"/>
    <n v="27"/>
    <x v="1"/>
    <n v="5046.51"/>
    <x v="1"/>
    <n v="0.05"/>
    <x v="2"/>
    <x v="1"/>
  </r>
  <r>
    <x v="5"/>
    <x v="4"/>
    <x v="2"/>
    <x v="748"/>
    <n v="17"/>
    <x v="0"/>
    <n v="4420.1499999999996"/>
    <x v="1"/>
    <n v="0.04"/>
    <x v="1"/>
    <x v="0"/>
  </r>
  <r>
    <x v="2"/>
    <x v="0"/>
    <x v="3"/>
    <x v="749"/>
    <n v="49"/>
    <x v="1"/>
    <n v="4315.5200000000004"/>
    <x v="0"/>
    <n v="7.0000000000000007E-2"/>
    <x v="1"/>
    <x v="1"/>
  </r>
  <r>
    <x v="2"/>
    <x v="2"/>
    <x v="2"/>
    <x v="750"/>
    <n v="11"/>
    <x v="3"/>
    <n v="2196.3000000000002"/>
    <x v="0"/>
    <n v="0.08"/>
    <x v="1"/>
    <x v="0"/>
  </r>
  <r>
    <x v="4"/>
    <x v="4"/>
    <x v="1"/>
    <x v="751"/>
    <n v="28"/>
    <x v="3"/>
    <n v="3108.3"/>
    <x v="0"/>
    <n v="0.15"/>
    <x v="2"/>
    <x v="1"/>
  </r>
  <r>
    <x v="2"/>
    <x v="4"/>
    <x v="2"/>
    <x v="752"/>
    <n v="44"/>
    <x v="2"/>
    <n v="1717.97"/>
    <x v="0"/>
    <n v="0.02"/>
    <x v="2"/>
    <x v="1"/>
  </r>
  <r>
    <x v="7"/>
    <x v="4"/>
    <x v="3"/>
    <x v="753"/>
    <n v="45"/>
    <x v="3"/>
    <n v="1687.83"/>
    <x v="0"/>
    <n v="0.02"/>
    <x v="2"/>
    <x v="0"/>
  </r>
  <r>
    <x v="2"/>
    <x v="3"/>
    <x v="1"/>
    <x v="754"/>
    <n v="28"/>
    <x v="3"/>
    <n v="569.63"/>
    <x v="0"/>
    <n v="0.13"/>
    <x v="2"/>
    <x v="1"/>
  </r>
  <r>
    <x v="1"/>
    <x v="4"/>
    <x v="1"/>
    <x v="755"/>
    <n v="20"/>
    <x v="3"/>
    <n v="5122.07"/>
    <x v="0"/>
    <n v="0.26"/>
    <x v="1"/>
    <x v="1"/>
  </r>
  <r>
    <x v="2"/>
    <x v="0"/>
    <x v="3"/>
    <x v="756"/>
    <n v="21"/>
    <x v="0"/>
    <n v="828.94999999999902"/>
    <x v="0"/>
    <n v="0.18"/>
    <x v="0"/>
    <x v="0"/>
  </r>
  <r>
    <x v="2"/>
    <x v="1"/>
    <x v="3"/>
    <x v="757"/>
    <n v="45"/>
    <x v="0"/>
    <n v="2958.55"/>
    <x v="0"/>
    <n v="0.08"/>
    <x v="1"/>
    <x v="0"/>
  </r>
  <r>
    <x v="7"/>
    <x v="4"/>
    <x v="2"/>
    <x v="758"/>
    <n v="22"/>
    <x v="2"/>
    <n v="4382.32"/>
    <x v="0"/>
    <n v="0.2"/>
    <x v="0"/>
    <x v="0"/>
  </r>
  <r>
    <x v="2"/>
    <x v="1"/>
    <x v="2"/>
    <x v="759"/>
    <n v="17"/>
    <x v="3"/>
    <n v="1528.59"/>
    <x v="1"/>
    <n v="0.11"/>
    <x v="2"/>
    <x v="1"/>
  </r>
  <r>
    <x v="2"/>
    <x v="2"/>
    <x v="2"/>
    <x v="760"/>
    <n v="14"/>
    <x v="2"/>
    <n v="2341.4699999999998"/>
    <x v="1"/>
    <n v="0.22"/>
    <x v="2"/>
    <x v="0"/>
  </r>
  <r>
    <x v="7"/>
    <x v="4"/>
    <x v="3"/>
    <x v="761"/>
    <n v="18"/>
    <x v="2"/>
    <n v="4431.04"/>
    <x v="0"/>
    <n v="0.02"/>
    <x v="0"/>
    <x v="1"/>
  </r>
  <r>
    <x v="3"/>
    <x v="4"/>
    <x v="2"/>
    <x v="762"/>
    <n v="24"/>
    <x v="0"/>
    <n v="3599.27"/>
    <x v="0"/>
    <n v="0.09"/>
    <x v="2"/>
    <x v="1"/>
  </r>
  <r>
    <x v="2"/>
    <x v="1"/>
    <x v="2"/>
    <x v="763"/>
    <n v="28"/>
    <x v="1"/>
    <n v="715.06"/>
    <x v="1"/>
    <n v="0.01"/>
    <x v="2"/>
    <x v="0"/>
  </r>
  <r>
    <x v="0"/>
    <x v="4"/>
    <x v="3"/>
    <x v="764"/>
    <n v="26"/>
    <x v="0"/>
    <n v="4003.96"/>
    <x v="0"/>
    <n v="0.24"/>
    <x v="1"/>
    <x v="0"/>
  </r>
  <r>
    <x v="9"/>
    <x v="4"/>
    <x v="1"/>
    <x v="765"/>
    <n v="35"/>
    <x v="3"/>
    <n v="2682.53"/>
    <x v="0"/>
    <n v="0.14000000000000001"/>
    <x v="1"/>
    <x v="1"/>
  </r>
  <r>
    <x v="2"/>
    <x v="2"/>
    <x v="3"/>
    <x v="766"/>
    <n v="16"/>
    <x v="3"/>
    <n v="4995.55"/>
    <x v="0"/>
    <n v="0.25"/>
    <x v="2"/>
    <x v="0"/>
  </r>
  <r>
    <x v="2"/>
    <x v="1"/>
    <x v="1"/>
    <x v="767"/>
    <n v="38"/>
    <x v="2"/>
    <n v="4474.5099999999902"/>
    <x v="0"/>
    <n v="0.01"/>
    <x v="2"/>
    <x v="0"/>
  </r>
  <r>
    <x v="2"/>
    <x v="4"/>
    <x v="1"/>
    <x v="768"/>
    <n v="45"/>
    <x v="2"/>
    <n v="2169.86"/>
    <x v="1"/>
    <n v="0.14000000000000001"/>
    <x v="2"/>
    <x v="0"/>
  </r>
  <r>
    <x v="2"/>
    <x v="1"/>
    <x v="0"/>
    <x v="769"/>
    <n v="23"/>
    <x v="1"/>
    <n v="902.26"/>
    <x v="0"/>
    <n v="0.17"/>
    <x v="0"/>
    <x v="0"/>
  </r>
  <r>
    <x v="2"/>
    <x v="0"/>
    <x v="1"/>
    <x v="770"/>
    <n v="11"/>
    <x v="2"/>
    <n v="2081.5500000000002"/>
    <x v="0"/>
    <n v="0.27"/>
    <x v="0"/>
    <x v="0"/>
  </r>
  <r>
    <x v="2"/>
    <x v="1"/>
    <x v="0"/>
    <x v="771"/>
    <n v="4"/>
    <x v="0"/>
    <n v="5044.74"/>
    <x v="0"/>
    <n v="0.01"/>
    <x v="0"/>
    <x v="0"/>
  </r>
  <r>
    <x v="2"/>
    <x v="1"/>
    <x v="0"/>
    <x v="772"/>
    <n v="6"/>
    <x v="1"/>
    <n v="4061.37"/>
    <x v="0"/>
    <n v="0.03"/>
    <x v="0"/>
    <x v="1"/>
  </r>
  <r>
    <x v="2"/>
    <x v="2"/>
    <x v="0"/>
    <x v="773"/>
    <n v="23"/>
    <x v="2"/>
    <n v="1984.34"/>
    <x v="1"/>
    <n v="0.24"/>
    <x v="0"/>
    <x v="0"/>
  </r>
  <r>
    <x v="2"/>
    <x v="0"/>
    <x v="0"/>
    <x v="774"/>
    <n v="30"/>
    <x v="3"/>
    <n v="4752.24"/>
    <x v="0"/>
    <n v="0.28000000000000003"/>
    <x v="2"/>
    <x v="0"/>
  </r>
  <r>
    <x v="1"/>
    <x v="4"/>
    <x v="1"/>
    <x v="775"/>
    <n v="21"/>
    <x v="3"/>
    <n v="4361.7"/>
    <x v="1"/>
    <n v="7.0000000000000007E-2"/>
    <x v="2"/>
    <x v="1"/>
  </r>
  <r>
    <x v="6"/>
    <x v="4"/>
    <x v="1"/>
    <x v="776"/>
    <n v="49"/>
    <x v="0"/>
    <n v="2147.14"/>
    <x v="1"/>
    <n v="0.18"/>
    <x v="2"/>
    <x v="1"/>
  </r>
  <r>
    <x v="2"/>
    <x v="3"/>
    <x v="2"/>
    <x v="777"/>
    <n v="11"/>
    <x v="0"/>
    <n v="4143.51"/>
    <x v="1"/>
    <n v="0.17"/>
    <x v="2"/>
    <x v="1"/>
  </r>
  <r>
    <x v="2"/>
    <x v="0"/>
    <x v="3"/>
    <x v="778"/>
    <n v="11"/>
    <x v="1"/>
    <n v="3565.6"/>
    <x v="1"/>
    <n v="0.1"/>
    <x v="2"/>
    <x v="1"/>
  </r>
  <r>
    <x v="7"/>
    <x v="4"/>
    <x v="0"/>
    <x v="779"/>
    <n v="30"/>
    <x v="2"/>
    <n v="3508.14"/>
    <x v="0"/>
    <n v="0.17"/>
    <x v="0"/>
    <x v="1"/>
  </r>
  <r>
    <x v="0"/>
    <x v="4"/>
    <x v="3"/>
    <x v="780"/>
    <n v="42"/>
    <x v="0"/>
    <n v="2943.31"/>
    <x v="0"/>
    <n v="0.28999999999999998"/>
    <x v="1"/>
    <x v="0"/>
  </r>
  <r>
    <x v="2"/>
    <x v="3"/>
    <x v="3"/>
    <x v="781"/>
    <n v="43"/>
    <x v="1"/>
    <n v="1505.44"/>
    <x v="0"/>
    <n v="0.08"/>
    <x v="1"/>
    <x v="1"/>
  </r>
  <r>
    <x v="2"/>
    <x v="0"/>
    <x v="1"/>
    <x v="782"/>
    <n v="16"/>
    <x v="1"/>
    <n v="2760.6"/>
    <x v="1"/>
    <n v="0.15"/>
    <x v="2"/>
    <x v="1"/>
  </r>
  <r>
    <x v="2"/>
    <x v="3"/>
    <x v="3"/>
    <x v="783"/>
    <n v="46"/>
    <x v="2"/>
    <n v="4007.98"/>
    <x v="0"/>
    <n v="0.13"/>
    <x v="1"/>
    <x v="0"/>
  </r>
  <r>
    <x v="9"/>
    <x v="4"/>
    <x v="3"/>
    <x v="784"/>
    <n v="44"/>
    <x v="2"/>
    <n v="2747.81"/>
    <x v="1"/>
    <n v="0.27"/>
    <x v="1"/>
    <x v="0"/>
  </r>
  <r>
    <x v="8"/>
    <x v="4"/>
    <x v="0"/>
    <x v="785"/>
    <n v="40"/>
    <x v="3"/>
    <n v="3001.56"/>
    <x v="1"/>
    <n v="0.26"/>
    <x v="0"/>
    <x v="0"/>
  </r>
  <r>
    <x v="2"/>
    <x v="2"/>
    <x v="0"/>
    <x v="786"/>
    <n v="22"/>
    <x v="2"/>
    <n v="759.31999999999903"/>
    <x v="1"/>
    <n v="0.17"/>
    <x v="0"/>
    <x v="1"/>
  </r>
  <r>
    <x v="2"/>
    <x v="0"/>
    <x v="1"/>
    <x v="787"/>
    <n v="22"/>
    <x v="1"/>
    <n v="2955.5099999999902"/>
    <x v="1"/>
    <n v="0"/>
    <x v="0"/>
    <x v="1"/>
  </r>
  <r>
    <x v="3"/>
    <x v="4"/>
    <x v="2"/>
    <x v="788"/>
    <n v="37"/>
    <x v="1"/>
    <n v="2937.57"/>
    <x v="0"/>
    <n v="0.17"/>
    <x v="2"/>
    <x v="1"/>
  </r>
  <r>
    <x v="8"/>
    <x v="4"/>
    <x v="0"/>
    <x v="789"/>
    <n v="30"/>
    <x v="1"/>
    <n v="3839.72"/>
    <x v="0"/>
    <n v="0.21"/>
    <x v="2"/>
    <x v="0"/>
  </r>
  <r>
    <x v="0"/>
    <x v="4"/>
    <x v="0"/>
    <x v="790"/>
    <n v="46"/>
    <x v="0"/>
    <n v="2367.11"/>
    <x v="0"/>
    <n v="0.16"/>
    <x v="1"/>
    <x v="1"/>
  </r>
  <r>
    <x v="2"/>
    <x v="3"/>
    <x v="3"/>
    <x v="791"/>
    <n v="43"/>
    <x v="3"/>
    <n v="1283.04"/>
    <x v="0"/>
    <n v="0.24"/>
    <x v="1"/>
    <x v="0"/>
  </r>
  <r>
    <x v="2"/>
    <x v="0"/>
    <x v="1"/>
    <x v="792"/>
    <n v="1"/>
    <x v="0"/>
    <n v="752.24"/>
    <x v="0"/>
    <n v="0.22"/>
    <x v="0"/>
    <x v="0"/>
  </r>
  <r>
    <x v="2"/>
    <x v="0"/>
    <x v="0"/>
    <x v="793"/>
    <n v="32"/>
    <x v="1"/>
    <n v="3286.47"/>
    <x v="0"/>
    <n v="0.09"/>
    <x v="2"/>
    <x v="0"/>
  </r>
  <r>
    <x v="2"/>
    <x v="3"/>
    <x v="3"/>
    <x v="794"/>
    <n v="39"/>
    <x v="0"/>
    <n v="2540.4199999999901"/>
    <x v="1"/>
    <n v="0.27"/>
    <x v="0"/>
    <x v="0"/>
  </r>
  <r>
    <x v="2"/>
    <x v="0"/>
    <x v="1"/>
    <x v="795"/>
    <n v="37"/>
    <x v="0"/>
    <n v="4984.3900000000003"/>
    <x v="1"/>
    <n v="0.12"/>
    <x v="1"/>
    <x v="1"/>
  </r>
  <r>
    <x v="2"/>
    <x v="0"/>
    <x v="1"/>
    <x v="796"/>
    <n v="18"/>
    <x v="0"/>
    <n v="3553.27"/>
    <x v="1"/>
    <n v="0.12"/>
    <x v="1"/>
    <x v="1"/>
  </r>
  <r>
    <x v="2"/>
    <x v="0"/>
    <x v="0"/>
    <x v="797"/>
    <n v="40"/>
    <x v="3"/>
    <n v="3723.21"/>
    <x v="0"/>
    <n v="0.22"/>
    <x v="0"/>
    <x v="1"/>
  </r>
  <r>
    <x v="2"/>
    <x v="1"/>
    <x v="0"/>
    <x v="798"/>
    <n v="27"/>
    <x v="2"/>
    <n v="2246.2399999999998"/>
    <x v="0"/>
    <n v="0.06"/>
    <x v="0"/>
    <x v="1"/>
  </r>
  <r>
    <x v="2"/>
    <x v="2"/>
    <x v="2"/>
    <x v="799"/>
    <n v="20"/>
    <x v="0"/>
    <n v="4475.1899999999996"/>
    <x v="1"/>
    <n v="0.16"/>
    <x v="1"/>
    <x v="0"/>
  </r>
  <r>
    <x v="9"/>
    <x v="4"/>
    <x v="1"/>
    <x v="800"/>
    <n v="33"/>
    <x v="2"/>
    <n v="3908.37"/>
    <x v="0"/>
    <n v="0.28999999999999998"/>
    <x v="1"/>
    <x v="1"/>
  </r>
  <r>
    <x v="5"/>
    <x v="4"/>
    <x v="3"/>
    <x v="801"/>
    <n v="40"/>
    <x v="0"/>
    <n v="3231.08"/>
    <x v="1"/>
    <n v="0.28999999999999998"/>
    <x v="2"/>
    <x v="1"/>
  </r>
  <r>
    <x v="3"/>
    <x v="4"/>
    <x v="2"/>
    <x v="802"/>
    <n v="40"/>
    <x v="0"/>
    <n v="3258.45"/>
    <x v="0"/>
    <n v="0.28999999999999998"/>
    <x v="1"/>
    <x v="0"/>
  </r>
  <r>
    <x v="5"/>
    <x v="4"/>
    <x v="3"/>
    <x v="803"/>
    <n v="47"/>
    <x v="0"/>
    <n v="2529.02"/>
    <x v="1"/>
    <n v="0.22"/>
    <x v="1"/>
    <x v="1"/>
  </r>
  <r>
    <x v="2"/>
    <x v="3"/>
    <x v="3"/>
    <x v="804"/>
    <n v="33"/>
    <x v="0"/>
    <n v="3307.75"/>
    <x v="1"/>
    <n v="0.01"/>
    <x v="0"/>
    <x v="1"/>
  </r>
  <r>
    <x v="2"/>
    <x v="3"/>
    <x v="3"/>
    <x v="805"/>
    <n v="3"/>
    <x v="0"/>
    <n v="3659.42"/>
    <x v="0"/>
    <n v="0.16"/>
    <x v="1"/>
    <x v="0"/>
  </r>
  <r>
    <x v="2"/>
    <x v="1"/>
    <x v="3"/>
    <x v="806"/>
    <n v="5"/>
    <x v="1"/>
    <n v="3930.06"/>
    <x v="0"/>
    <n v="0.17"/>
    <x v="0"/>
    <x v="0"/>
  </r>
  <r>
    <x v="2"/>
    <x v="0"/>
    <x v="1"/>
    <x v="807"/>
    <n v="12"/>
    <x v="2"/>
    <n v="5080.74"/>
    <x v="0"/>
    <n v="0.2"/>
    <x v="1"/>
    <x v="0"/>
  </r>
  <r>
    <x v="2"/>
    <x v="0"/>
    <x v="1"/>
    <x v="808"/>
    <n v="15"/>
    <x v="1"/>
    <n v="1972.62"/>
    <x v="1"/>
    <n v="0.06"/>
    <x v="2"/>
    <x v="1"/>
  </r>
  <r>
    <x v="2"/>
    <x v="3"/>
    <x v="3"/>
    <x v="809"/>
    <n v="38"/>
    <x v="0"/>
    <n v="1265.6600000000001"/>
    <x v="1"/>
    <n v="0.26"/>
    <x v="0"/>
    <x v="1"/>
  </r>
  <r>
    <x v="2"/>
    <x v="1"/>
    <x v="3"/>
    <x v="810"/>
    <n v="43"/>
    <x v="3"/>
    <n v="666.64"/>
    <x v="1"/>
    <n v="0"/>
    <x v="0"/>
    <x v="0"/>
  </r>
  <r>
    <x v="2"/>
    <x v="4"/>
    <x v="1"/>
    <x v="811"/>
    <n v="29"/>
    <x v="1"/>
    <n v="4061.04"/>
    <x v="1"/>
    <n v="0.21"/>
    <x v="2"/>
    <x v="0"/>
  </r>
  <r>
    <x v="9"/>
    <x v="4"/>
    <x v="1"/>
    <x v="812"/>
    <n v="41"/>
    <x v="0"/>
    <n v="2879.24"/>
    <x v="0"/>
    <n v="0.21"/>
    <x v="0"/>
    <x v="0"/>
  </r>
  <r>
    <x v="2"/>
    <x v="2"/>
    <x v="2"/>
    <x v="813"/>
    <n v="23"/>
    <x v="2"/>
    <n v="1675.35"/>
    <x v="0"/>
    <n v="0.21"/>
    <x v="1"/>
    <x v="1"/>
  </r>
  <r>
    <x v="2"/>
    <x v="2"/>
    <x v="0"/>
    <x v="814"/>
    <n v="48"/>
    <x v="1"/>
    <n v="5253.07"/>
    <x v="1"/>
    <n v="0.01"/>
    <x v="0"/>
    <x v="0"/>
  </r>
  <r>
    <x v="2"/>
    <x v="0"/>
    <x v="2"/>
    <x v="815"/>
    <n v="27"/>
    <x v="2"/>
    <n v="3423.66"/>
    <x v="0"/>
    <n v="0.18"/>
    <x v="2"/>
    <x v="0"/>
  </r>
  <r>
    <x v="2"/>
    <x v="4"/>
    <x v="0"/>
    <x v="816"/>
    <n v="25"/>
    <x v="0"/>
    <n v="3964.63"/>
    <x v="1"/>
    <n v="0.03"/>
    <x v="2"/>
    <x v="1"/>
  </r>
  <r>
    <x v="3"/>
    <x v="0"/>
    <x v="2"/>
    <x v="817"/>
    <n v="13"/>
    <x v="0"/>
    <n v="2517.6"/>
    <x v="0"/>
    <n v="0.23"/>
    <x v="0"/>
    <x v="1"/>
  </r>
  <r>
    <x v="3"/>
    <x v="0"/>
    <x v="3"/>
    <x v="818"/>
    <n v="21"/>
    <x v="2"/>
    <n v="641.09"/>
    <x v="1"/>
    <n v="0"/>
    <x v="0"/>
    <x v="1"/>
  </r>
  <r>
    <x v="3"/>
    <x v="1"/>
    <x v="0"/>
    <x v="819"/>
    <n v="31"/>
    <x v="0"/>
    <n v="2441.79"/>
    <x v="1"/>
    <n v="0.24"/>
    <x v="0"/>
    <x v="0"/>
  </r>
  <r>
    <x v="7"/>
    <x v="4"/>
    <x v="2"/>
    <x v="820"/>
    <n v="35"/>
    <x v="1"/>
    <n v="3224.8399999999901"/>
    <x v="0"/>
    <n v="0.14000000000000001"/>
    <x v="1"/>
    <x v="0"/>
  </r>
  <r>
    <x v="3"/>
    <x v="3"/>
    <x v="3"/>
    <x v="821"/>
    <n v="47"/>
    <x v="0"/>
    <n v="4314.5599999999904"/>
    <x v="0"/>
    <n v="0.17"/>
    <x v="0"/>
    <x v="1"/>
  </r>
  <r>
    <x v="3"/>
    <x v="1"/>
    <x v="1"/>
    <x v="822"/>
    <n v="12"/>
    <x v="0"/>
    <n v="1545"/>
    <x v="1"/>
    <n v="0.04"/>
    <x v="0"/>
    <x v="1"/>
  </r>
  <r>
    <x v="10"/>
    <x v="4"/>
    <x v="0"/>
    <x v="823"/>
    <n v="22"/>
    <x v="1"/>
    <n v="4576.72"/>
    <x v="1"/>
    <n v="0.02"/>
    <x v="1"/>
    <x v="1"/>
  </r>
  <r>
    <x v="3"/>
    <x v="1"/>
    <x v="3"/>
    <x v="824"/>
    <n v="32"/>
    <x v="1"/>
    <n v="3152.2799999999902"/>
    <x v="1"/>
    <n v="0.22"/>
    <x v="1"/>
    <x v="1"/>
  </r>
  <r>
    <x v="7"/>
    <x v="4"/>
    <x v="3"/>
    <x v="825"/>
    <n v="40"/>
    <x v="0"/>
    <n v="3007.47"/>
    <x v="1"/>
    <n v="0.17"/>
    <x v="2"/>
    <x v="1"/>
  </r>
  <r>
    <x v="3"/>
    <x v="4"/>
    <x v="0"/>
    <x v="826"/>
    <n v="48"/>
    <x v="3"/>
    <n v="2838.27"/>
    <x v="0"/>
    <n v="0.25"/>
    <x v="2"/>
    <x v="0"/>
  </r>
  <r>
    <x v="3"/>
    <x v="2"/>
    <x v="2"/>
    <x v="827"/>
    <n v="28"/>
    <x v="3"/>
    <n v="2168.91"/>
    <x v="1"/>
    <n v="0.08"/>
    <x v="1"/>
    <x v="1"/>
  </r>
  <r>
    <x v="3"/>
    <x v="0"/>
    <x v="1"/>
    <x v="828"/>
    <n v="2"/>
    <x v="0"/>
    <n v="1189.3499999999999"/>
    <x v="0"/>
    <n v="0.27"/>
    <x v="0"/>
    <x v="0"/>
  </r>
  <r>
    <x v="3"/>
    <x v="1"/>
    <x v="1"/>
    <x v="829"/>
    <n v="37"/>
    <x v="1"/>
    <n v="860.95"/>
    <x v="0"/>
    <n v="0.1"/>
    <x v="2"/>
    <x v="1"/>
  </r>
  <r>
    <x v="3"/>
    <x v="3"/>
    <x v="1"/>
    <x v="830"/>
    <n v="36"/>
    <x v="2"/>
    <n v="1167.33"/>
    <x v="0"/>
    <n v="0.22"/>
    <x v="1"/>
    <x v="0"/>
  </r>
  <r>
    <x v="3"/>
    <x v="2"/>
    <x v="0"/>
    <x v="831"/>
    <n v="32"/>
    <x v="0"/>
    <n v="1492.48"/>
    <x v="1"/>
    <n v="0.04"/>
    <x v="2"/>
    <x v="1"/>
  </r>
  <r>
    <x v="3"/>
    <x v="1"/>
    <x v="0"/>
    <x v="832"/>
    <n v="41"/>
    <x v="1"/>
    <n v="1444.97"/>
    <x v="1"/>
    <n v="0.21"/>
    <x v="0"/>
    <x v="0"/>
  </r>
  <r>
    <x v="7"/>
    <x v="4"/>
    <x v="2"/>
    <x v="833"/>
    <n v="34"/>
    <x v="1"/>
    <n v="3273.22"/>
    <x v="1"/>
    <n v="0.08"/>
    <x v="2"/>
    <x v="1"/>
  </r>
  <r>
    <x v="3"/>
    <x v="0"/>
    <x v="1"/>
    <x v="834"/>
    <n v="1"/>
    <x v="0"/>
    <n v="3027.74"/>
    <x v="0"/>
    <n v="0.15"/>
    <x v="0"/>
    <x v="1"/>
  </r>
  <r>
    <x v="3"/>
    <x v="3"/>
    <x v="1"/>
    <x v="835"/>
    <n v="18"/>
    <x v="2"/>
    <n v="1273.98"/>
    <x v="0"/>
    <n v="0.02"/>
    <x v="0"/>
    <x v="1"/>
  </r>
  <r>
    <x v="3"/>
    <x v="1"/>
    <x v="2"/>
    <x v="836"/>
    <n v="8"/>
    <x v="1"/>
    <n v="3729.27"/>
    <x v="0"/>
    <n v="0.09"/>
    <x v="0"/>
    <x v="1"/>
  </r>
  <r>
    <x v="3"/>
    <x v="1"/>
    <x v="1"/>
    <x v="837"/>
    <n v="25"/>
    <x v="3"/>
    <n v="693.4"/>
    <x v="0"/>
    <n v="0.27"/>
    <x v="2"/>
    <x v="1"/>
  </r>
  <r>
    <x v="3"/>
    <x v="1"/>
    <x v="1"/>
    <x v="838"/>
    <n v="3"/>
    <x v="0"/>
    <n v="4362.4399999999996"/>
    <x v="0"/>
    <n v="0.23"/>
    <x v="0"/>
    <x v="1"/>
  </r>
  <r>
    <x v="3"/>
    <x v="1"/>
    <x v="1"/>
    <x v="839"/>
    <n v="1"/>
    <x v="2"/>
    <n v="211.18"/>
    <x v="1"/>
    <n v="0.27"/>
    <x v="0"/>
    <x v="1"/>
  </r>
  <r>
    <x v="3"/>
    <x v="3"/>
    <x v="0"/>
    <x v="840"/>
    <n v="3"/>
    <x v="1"/>
    <n v="2186.42"/>
    <x v="0"/>
    <n v="0.25"/>
    <x v="0"/>
    <x v="0"/>
  </r>
  <r>
    <x v="3"/>
    <x v="1"/>
    <x v="1"/>
    <x v="841"/>
    <n v="5"/>
    <x v="2"/>
    <n v="991.21"/>
    <x v="1"/>
    <n v="0.21"/>
    <x v="2"/>
    <x v="0"/>
  </r>
  <r>
    <x v="3"/>
    <x v="2"/>
    <x v="3"/>
    <x v="842"/>
    <n v="6"/>
    <x v="1"/>
    <n v="3840.24"/>
    <x v="0"/>
    <n v="7.0000000000000007E-2"/>
    <x v="2"/>
    <x v="0"/>
  </r>
  <r>
    <x v="8"/>
    <x v="4"/>
    <x v="1"/>
    <x v="843"/>
    <n v="22"/>
    <x v="1"/>
    <n v="4656.58"/>
    <x v="0"/>
    <n v="0"/>
    <x v="0"/>
    <x v="0"/>
  </r>
  <r>
    <x v="3"/>
    <x v="0"/>
    <x v="0"/>
    <x v="844"/>
    <n v="9"/>
    <x v="1"/>
    <n v="1838.21"/>
    <x v="0"/>
    <n v="0.15"/>
    <x v="0"/>
    <x v="1"/>
  </r>
  <r>
    <x v="3"/>
    <x v="3"/>
    <x v="2"/>
    <x v="845"/>
    <n v="1"/>
    <x v="2"/>
    <n v="4528.7699999999904"/>
    <x v="1"/>
    <n v="0.22"/>
    <x v="0"/>
    <x v="0"/>
  </r>
  <r>
    <x v="3"/>
    <x v="0"/>
    <x v="1"/>
    <x v="846"/>
    <n v="11"/>
    <x v="2"/>
    <n v="3862.26"/>
    <x v="0"/>
    <n v="0.22"/>
    <x v="2"/>
    <x v="1"/>
  </r>
  <r>
    <x v="3"/>
    <x v="3"/>
    <x v="1"/>
    <x v="847"/>
    <n v="25"/>
    <x v="1"/>
    <n v="3337.4"/>
    <x v="1"/>
    <n v="0.25"/>
    <x v="2"/>
    <x v="1"/>
  </r>
  <r>
    <x v="3"/>
    <x v="1"/>
    <x v="3"/>
    <x v="848"/>
    <n v="1"/>
    <x v="2"/>
    <n v="865.76"/>
    <x v="1"/>
    <n v="0.09"/>
    <x v="0"/>
    <x v="1"/>
  </r>
  <r>
    <x v="3"/>
    <x v="3"/>
    <x v="1"/>
    <x v="849"/>
    <n v="37"/>
    <x v="2"/>
    <n v="1906.6399999999901"/>
    <x v="0"/>
    <n v="0.13"/>
    <x v="0"/>
    <x v="0"/>
  </r>
  <r>
    <x v="4"/>
    <x v="4"/>
    <x v="1"/>
    <x v="850"/>
    <n v="47"/>
    <x v="0"/>
    <n v="2714.71"/>
    <x v="0"/>
    <n v="0.19"/>
    <x v="1"/>
    <x v="1"/>
  </r>
  <r>
    <x v="3"/>
    <x v="0"/>
    <x v="1"/>
    <x v="851"/>
    <n v="26"/>
    <x v="3"/>
    <n v="4954.3900000000003"/>
    <x v="0"/>
    <n v="0.25"/>
    <x v="0"/>
    <x v="0"/>
  </r>
  <r>
    <x v="3"/>
    <x v="0"/>
    <x v="2"/>
    <x v="852"/>
    <n v="6"/>
    <x v="3"/>
    <n v="4082.62"/>
    <x v="1"/>
    <n v="0.3"/>
    <x v="0"/>
    <x v="1"/>
  </r>
  <r>
    <x v="3"/>
    <x v="3"/>
    <x v="0"/>
    <x v="853"/>
    <n v="14"/>
    <x v="2"/>
    <n v="958.76"/>
    <x v="1"/>
    <n v="7.0000000000000007E-2"/>
    <x v="2"/>
    <x v="1"/>
  </r>
  <r>
    <x v="3"/>
    <x v="3"/>
    <x v="3"/>
    <x v="854"/>
    <n v="19"/>
    <x v="0"/>
    <n v="3215"/>
    <x v="1"/>
    <n v="0.09"/>
    <x v="2"/>
    <x v="1"/>
  </r>
  <r>
    <x v="3"/>
    <x v="3"/>
    <x v="1"/>
    <x v="855"/>
    <n v="13"/>
    <x v="2"/>
    <n v="732.69"/>
    <x v="0"/>
    <n v="0.04"/>
    <x v="1"/>
    <x v="1"/>
  </r>
  <r>
    <x v="2"/>
    <x v="4"/>
    <x v="2"/>
    <x v="856"/>
    <n v="46"/>
    <x v="1"/>
    <n v="3198.49"/>
    <x v="1"/>
    <n v="0.28999999999999998"/>
    <x v="1"/>
    <x v="1"/>
  </r>
  <r>
    <x v="9"/>
    <x v="4"/>
    <x v="1"/>
    <x v="857"/>
    <n v="49"/>
    <x v="0"/>
    <n v="2925.86"/>
    <x v="1"/>
    <n v="0.26"/>
    <x v="1"/>
    <x v="1"/>
  </r>
  <r>
    <x v="3"/>
    <x v="0"/>
    <x v="2"/>
    <x v="858"/>
    <n v="15"/>
    <x v="2"/>
    <n v="4212.55"/>
    <x v="1"/>
    <n v="0.16"/>
    <x v="2"/>
    <x v="1"/>
  </r>
  <r>
    <x v="3"/>
    <x v="1"/>
    <x v="3"/>
    <x v="859"/>
    <n v="31"/>
    <x v="2"/>
    <n v="2502.7600000000002"/>
    <x v="1"/>
    <n v="0.27"/>
    <x v="1"/>
    <x v="1"/>
  </r>
  <r>
    <x v="3"/>
    <x v="1"/>
    <x v="3"/>
    <x v="860"/>
    <n v="39"/>
    <x v="1"/>
    <n v="2299.37"/>
    <x v="1"/>
    <n v="0.24"/>
    <x v="0"/>
    <x v="1"/>
  </r>
  <r>
    <x v="3"/>
    <x v="2"/>
    <x v="2"/>
    <x v="861"/>
    <n v="22"/>
    <x v="0"/>
    <n v="3634.58"/>
    <x v="0"/>
    <n v="0.13"/>
    <x v="0"/>
    <x v="0"/>
  </r>
  <r>
    <x v="4"/>
    <x v="4"/>
    <x v="0"/>
    <x v="862"/>
    <n v="44"/>
    <x v="3"/>
    <n v="2512.8399999999901"/>
    <x v="1"/>
    <n v="0.04"/>
    <x v="1"/>
    <x v="0"/>
  </r>
  <r>
    <x v="3"/>
    <x v="0"/>
    <x v="1"/>
    <x v="863"/>
    <n v="30"/>
    <x v="1"/>
    <n v="882.28"/>
    <x v="1"/>
    <n v="0.15"/>
    <x v="2"/>
    <x v="0"/>
  </r>
  <r>
    <x v="9"/>
    <x v="4"/>
    <x v="1"/>
    <x v="864"/>
    <n v="47"/>
    <x v="0"/>
    <n v="2429.9299999999998"/>
    <x v="1"/>
    <n v="0.06"/>
    <x v="0"/>
    <x v="0"/>
  </r>
  <r>
    <x v="8"/>
    <x v="4"/>
    <x v="2"/>
    <x v="865"/>
    <n v="41"/>
    <x v="3"/>
    <n v="2929.45"/>
    <x v="0"/>
    <n v="0.06"/>
    <x v="1"/>
    <x v="1"/>
  </r>
  <r>
    <x v="3"/>
    <x v="3"/>
    <x v="0"/>
    <x v="866"/>
    <n v="22"/>
    <x v="2"/>
    <n v="1098.97"/>
    <x v="1"/>
    <n v="0.17"/>
    <x v="1"/>
    <x v="0"/>
  </r>
  <r>
    <x v="3"/>
    <x v="2"/>
    <x v="1"/>
    <x v="867"/>
    <n v="18"/>
    <x v="0"/>
    <n v="3722.38"/>
    <x v="1"/>
    <n v="0.19"/>
    <x v="0"/>
    <x v="1"/>
  </r>
  <r>
    <x v="3"/>
    <x v="1"/>
    <x v="0"/>
    <x v="868"/>
    <n v="36"/>
    <x v="3"/>
    <n v="3386.33"/>
    <x v="0"/>
    <n v="0.2"/>
    <x v="0"/>
    <x v="0"/>
  </r>
  <r>
    <x v="3"/>
    <x v="0"/>
    <x v="0"/>
    <x v="869"/>
    <n v="8"/>
    <x v="2"/>
    <n v="4257.5199999999904"/>
    <x v="0"/>
    <n v="0.11"/>
    <x v="1"/>
    <x v="1"/>
  </r>
  <r>
    <x v="3"/>
    <x v="3"/>
    <x v="1"/>
    <x v="870"/>
    <n v="26"/>
    <x v="3"/>
    <n v="1308.4399999999901"/>
    <x v="1"/>
    <n v="7.0000000000000007E-2"/>
    <x v="2"/>
    <x v="0"/>
  </r>
  <r>
    <x v="3"/>
    <x v="0"/>
    <x v="1"/>
    <x v="871"/>
    <n v="28"/>
    <x v="3"/>
    <n v="4362.51"/>
    <x v="1"/>
    <n v="7.0000000000000007E-2"/>
    <x v="2"/>
    <x v="1"/>
  </r>
  <r>
    <x v="3"/>
    <x v="1"/>
    <x v="0"/>
    <x v="872"/>
    <n v="22"/>
    <x v="2"/>
    <n v="4752.88"/>
    <x v="1"/>
    <n v="7.0000000000000007E-2"/>
    <x v="0"/>
    <x v="1"/>
  </r>
  <r>
    <x v="3"/>
    <x v="1"/>
    <x v="1"/>
    <x v="873"/>
    <n v="32"/>
    <x v="1"/>
    <n v="3753.83"/>
    <x v="0"/>
    <n v="0.22"/>
    <x v="1"/>
    <x v="1"/>
  </r>
  <r>
    <x v="3"/>
    <x v="2"/>
    <x v="3"/>
    <x v="874"/>
    <n v="32"/>
    <x v="3"/>
    <n v="4523.3599999999997"/>
    <x v="0"/>
    <n v="0.3"/>
    <x v="0"/>
    <x v="1"/>
  </r>
  <r>
    <x v="3"/>
    <x v="2"/>
    <x v="3"/>
    <x v="875"/>
    <n v="42"/>
    <x v="3"/>
    <n v="1566.36"/>
    <x v="1"/>
    <n v="0.03"/>
    <x v="2"/>
    <x v="1"/>
  </r>
  <r>
    <x v="3"/>
    <x v="1"/>
    <x v="1"/>
    <x v="876"/>
    <n v="32"/>
    <x v="3"/>
    <n v="1126.52"/>
    <x v="0"/>
    <n v="0.28999999999999998"/>
    <x v="2"/>
    <x v="1"/>
  </r>
  <r>
    <x v="3"/>
    <x v="3"/>
    <x v="0"/>
    <x v="877"/>
    <n v="17"/>
    <x v="2"/>
    <n v="3069.9399999999901"/>
    <x v="1"/>
    <n v="0.23"/>
    <x v="0"/>
    <x v="1"/>
  </r>
  <r>
    <x v="3"/>
    <x v="0"/>
    <x v="1"/>
    <x v="878"/>
    <n v="24"/>
    <x v="3"/>
    <n v="1482.58"/>
    <x v="1"/>
    <n v="0.2"/>
    <x v="2"/>
    <x v="1"/>
  </r>
  <r>
    <x v="3"/>
    <x v="3"/>
    <x v="3"/>
    <x v="879"/>
    <n v="7"/>
    <x v="2"/>
    <n v="1182"/>
    <x v="0"/>
    <n v="0.23"/>
    <x v="2"/>
    <x v="1"/>
  </r>
  <r>
    <x v="6"/>
    <x v="4"/>
    <x v="2"/>
    <x v="880"/>
    <n v="48"/>
    <x v="2"/>
    <n v="2462.63"/>
    <x v="0"/>
    <n v="0.04"/>
    <x v="2"/>
    <x v="0"/>
  </r>
  <r>
    <x v="3"/>
    <x v="2"/>
    <x v="3"/>
    <x v="881"/>
    <n v="7"/>
    <x v="2"/>
    <n v="4355.87"/>
    <x v="1"/>
    <n v="0.03"/>
    <x v="0"/>
    <x v="0"/>
  </r>
  <r>
    <x v="3"/>
    <x v="2"/>
    <x v="0"/>
    <x v="882"/>
    <n v="24"/>
    <x v="0"/>
    <n v="338.94"/>
    <x v="0"/>
    <n v="0.28999999999999998"/>
    <x v="1"/>
    <x v="0"/>
  </r>
  <r>
    <x v="3"/>
    <x v="0"/>
    <x v="2"/>
    <x v="883"/>
    <n v="42"/>
    <x v="0"/>
    <n v="2611.94"/>
    <x v="1"/>
    <n v="0.23"/>
    <x v="1"/>
    <x v="0"/>
  </r>
  <r>
    <x v="3"/>
    <x v="4"/>
    <x v="1"/>
    <x v="884"/>
    <n v="47"/>
    <x v="1"/>
    <n v="3375.79"/>
    <x v="0"/>
    <n v="0.28000000000000003"/>
    <x v="2"/>
    <x v="0"/>
  </r>
  <r>
    <x v="0"/>
    <x v="4"/>
    <x v="3"/>
    <x v="885"/>
    <n v="25"/>
    <x v="2"/>
    <n v="5011.4299999999903"/>
    <x v="0"/>
    <n v="7.0000000000000007E-2"/>
    <x v="0"/>
    <x v="0"/>
  </r>
  <r>
    <x v="3"/>
    <x v="1"/>
    <x v="3"/>
    <x v="886"/>
    <n v="12"/>
    <x v="2"/>
    <n v="4636.59"/>
    <x v="0"/>
    <n v="0.18"/>
    <x v="2"/>
    <x v="1"/>
  </r>
  <r>
    <x v="3"/>
    <x v="3"/>
    <x v="0"/>
    <x v="887"/>
    <n v="9"/>
    <x v="1"/>
    <n v="451.81"/>
    <x v="1"/>
    <n v="0.1"/>
    <x v="1"/>
    <x v="1"/>
  </r>
  <r>
    <x v="3"/>
    <x v="3"/>
    <x v="1"/>
    <x v="888"/>
    <n v="1"/>
    <x v="3"/>
    <n v="260.73"/>
    <x v="1"/>
    <n v="0.17"/>
    <x v="1"/>
    <x v="0"/>
  </r>
  <r>
    <x v="3"/>
    <x v="3"/>
    <x v="2"/>
    <x v="889"/>
    <n v="2"/>
    <x v="1"/>
    <n v="993.24"/>
    <x v="1"/>
    <n v="0.09"/>
    <x v="2"/>
    <x v="0"/>
  </r>
  <r>
    <x v="3"/>
    <x v="3"/>
    <x v="1"/>
    <x v="890"/>
    <n v="33"/>
    <x v="0"/>
    <n v="1486.29"/>
    <x v="1"/>
    <n v="0.18"/>
    <x v="2"/>
    <x v="1"/>
  </r>
  <r>
    <x v="3"/>
    <x v="1"/>
    <x v="3"/>
    <x v="891"/>
    <n v="15"/>
    <x v="3"/>
    <n v="1336.37"/>
    <x v="1"/>
    <n v="0.26"/>
    <x v="1"/>
    <x v="1"/>
  </r>
  <r>
    <x v="0"/>
    <x v="4"/>
    <x v="3"/>
    <x v="892"/>
    <n v="26"/>
    <x v="1"/>
    <n v="4557.5600000000004"/>
    <x v="0"/>
    <n v="0"/>
    <x v="2"/>
    <x v="0"/>
  </r>
  <r>
    <x v="3"/>
    <x v="3"/>
    <x v="0"/>
    <x v="893"/>
    <n v="15"/>
    <x v="0"/>
    <n v="3513.74"/>
    <x v="0"/>
    <n v="0.02"/>
    <x v="1"/>
    <x v="0"/>
  </r>
  <r>
    <x v="3"/>
    <x v="2"/>
    <x v="2"/>
    <x v="894"/>
    <n v="23"/>
    <x v="0"/>
    <n v="987.41"/>
    <x v="1"/>
    <n v="0.23"/>
    <x v="2"/>
    <x v="0"/>
  </r>
  <r>
    <x v="3"/>
    <x v="4"/>
    <x v="2"/>
    <x v="895"/>
    <n v="47"/>
    <x v="1"/>
    <n v="2617"/>
    <x v="0"/>
    <n v="0.01"/>
    <x v="0"/>
    <x v="0"/>
  </r>
  <r>
    <x v="6"/>
    <x v="4"/>
    <x v="3"/>
    <x v="896"/>
    <n v="44"/>
    <x v="0"/>
    <n v="3822.98"/>
    <x v="1"/>
    <n v="0.27"/>
    <x v="0"/>
    <x v="0"/>
  </r>
  <r>
    <x v="3"/>
    <x v="0"/>
    <x v="1"/>
    <x v="897"/>
    <n v="28"/>
    <x v="3"/>
    <n v="3813.48"/>
    <x v="0"/>
    <n v="7.0000000000000007E-2"/>
    <x v="2"/>
    <x v="1"/>
  </r>
  <r>
    <x v="3"/>
    <x v="1"/>
    <x v="2"/>
    <x v="898"/>
    <n v="23"/>
    <x v="1"/>
    <n v="2082.52"/>
    <x v="0"/>
    <n v="0.15"/>
    <x v="0"/>
    <x v="1"/>
  </r>
  <r>
    <x v="3"/>
    <x v="3"/>
    <x v="3"/>
    <x v="899"/>
    <n v="31"/>
    <x v="0"/>
    <n v="175.29"/>
    <x v="0"/>
    <n v="7.0000000000000007E-2"/>
    <x v="0"/>
    <x v="0"/>
  </r>
  <r>
    <x v="2"/>
    <x v="4"/>
    <x v="2"/>
    <x v="900"/>
    <n v="43"/>
    <x v="0"/>
    <n v="4186.9799999999996"/>
    <x v="1"/>
    <n v="0.3"/>
    <x v="2"/>
    <x v="0"/>
  </r>
  <r>
    <x v="3"/>
    <x v="2"/>
    <x v="2"/>
    <x v="901"/>
    <n v="46"/>
    <x v="3"/>
    <n v="757.26"/>
    <x v="0"/>
    <n v="0.21"/>
    <x v="2"/>
    <x v="1"/>
  </r>
  <r>
    <x v="3"/>
    <x v="1"/>
    <x v="2"/>
    <x v="902"/>
    <n v="28"/>
    <x v="2"/>
    <n v="1951.24"/>
    <x v="0"/>
    <n v="0.22"/>
    <x v="1"/>
    <x v="0"/>
  </r>
  <r>
    <x v="3"/>
    <x v="0"/>
    <x v="3"/>
    <x v="903"/>
    <n v="29"/>
    <x v="0"/>
    <n v="909.88"/>
    <x v="1"/>
    <n v="0.13"/>
    <x v="2"/>
    <x v="1"/>
  </r>
  <r>
    <x v="2"/>
    <x v="4"/>
    <x v="2"/>
    <x v="904"/>
    <n v="30"/>
    <x v="3"/>
    <n v="4784.28"/>
    <x v="1"/>
    <n v="0.1"/>
    <x v="2"/>
    <x v="1"/>
  </r>
  <r>
    <x v="11"/>
    <x v="4"/>
    <x v="2"/>
    <x v="905"/>
    <n v="36"/>
    <x v="1"/>
    <n v="4076.77"/>
    <x v="1"/>
    <n v="0.1"/>
    <x v="2"/>
    <x v="1"/>
  </r>
  <r>
    <x v="3"/>
    <x v="1"/>
    <x v="2"/>
    <x v="906"/>
    <n v="16"/>
    <x v="3"/>
    <n v="2263.3599999999901"/>
    <x v="1"/>
    <n v="0"/>
    <x v="0"/>
    <x v="1"/>
  </r>
  <r>
    <x v="3"/>
    <x v="1"/>
    <x v="0"/>
    <x v="907"/>
    <n v="10"/>
    <x v="0"/>
    <n v="2578.7999999999902"/>
    <x v="0"/>
    <n v="0.14000000000000001"/>
    <x v="1"/>
    <x v="0"/>
  </r>
  <r>
    <x v="3"/>
    <x v="1"/>
    <x v="2"/>
    <x v="908"/>
    <n v="38"/>
    <x v="3"/>
    <n v="1511.26"/>
    <x v="0"/>
    <n v="0.1"/>
    <x v="0"/>
    <x v="0"/>
  </r>
  <r>
    <x v="5"/>
    <x v="4"/>
    <x v="1"/>
    <x v="909"/>
    <n v="35"/>
    <x v="1"/>
    <n v="5287.05"/>
    <x v="1"/>
    <n v="0.28000000000000003"/>
    <x v="2"/>
    <x v="0"/>
  </r>
  <r>
    <x v="11"/>
    <x v="4"/>
    <x v="2"/>
    <x v="910"/>
    <n v="35"/>
    <x v="1"/>
    <n v="4645.17"/>
    <x v="1"/>
    <n v="0.18"/>
    <x v="2"/>
    <x v="1"/>
  </r>
  <r>
    <x v="3"/>
    <x v="3"/>
    <x v="1"/>
    <x v="911"/>
    <n v="24"/>
    <x v="2"/>
    <n v="1214.56"/>
    <x v="0"/>
    <n v="0.22"/>
    <x v="0"/>
    <x v="0"/>
  </r>
  <r>
    <x v="7"/>
    <x v="1"/>
    <x v="0"/>
    <x v="912"/>
    <n v="30"/>
    <x v="0"/>
    <n v="4270.6499999999996"/>
    <x v="0"/>
    <n v="0.2"/>
    <x v="1"/>
    <x v="0"/>
  </r>
  <r>
    <x v="7"/>
    <x v="0"/>
    <x v="1"/>
    <x v="913"/>
    <n v="44"/>
    <x v="3"/>
    <n v="4276.99"/>
    <x v="0"/>
    <n v="0.06"/>
    <x v="0"/>
    <x v="1"/>
  </r>
  <r>
    <x v="7"/>
    <x v="0"/>
    <x v="1"/>
    <x v="914"/>
    <n v="30"/>
    <x v="3"/>
    <n v="3774.65"/>
    <x v="0"/>
    <n v="0.2"/>
    <x v="2"/>
    <x v="1"/>
  </r>
  <r>
    <x v="7"/>
    <x v="2"/>
    <x v="3"/>
    <x v="915"/>
    <n v="8"/>
    <x v="0"/>
    <n v="3838.42"/>
    <x v="1"/>
    <n v="0.13"/>
    <x v="0"/>
    <x v="0"/>
  </r>
  <r>
    <x v="1"/>
    <x v="4"/>
    <x v="2"/>
    <x v="916"/>
    <n v="36"/>
    <x v="2"/>
    <n v="4384.8500000000004"/>
    <x v="0"/>
    <n v="0.14000000000000001"/>
    <x v="1"/>
    <x v="0"/>
  </r>
  <r>
    <x v="7"/>
    <x v="0"/>
    <x v="2"/>
    <x v="917"/>
    <n v="11"/>
    <x v="3"/>
    <n v="4884.29"/>
    <x v="0"/>
    <n v="0.13"/>
    <x v="1"/>
    <x v="0"/>
  </r>
  <r>
    <x v="2"/>
    <x v="4"/>
    <x v="1"/>
    <x v="918"/>
    <n v="39"/>
    <x v="1"/>
    <n v="4004"/>
    <x v="0"/>
    <n v="0.13"/>
    <x v="1"/>
    <x v="0"/>
  </r>
  <r>
    <x v="4"/>
    <x v="4"/>
    <x v="3"/>
    <x v="919"/>
    <n v="39"/>
    <x v="2"/>
    <n v="4663.3399999999901"/>
    <x v="0"/>
    <n v="0.24"/>
    <x v="1"/>
    <x v="1"/>
  </r>
  <r>
    <x v="7"/>
    <x v="2"/>
    <x v="1"/>
    <x v="920"/>
    <n v="27"/>
    <x v="1"/>
    <n v="429.29"/>
    <x v="1"/>
    <n v="0.18"/>
    <x v="2"/>
    <x v="1"/>
  </r>
  <r>
    <x v="7"/>
    <x v="1"/>
    <x v="1"/>
    <x v="921"/>
    <n v="20"/>
    <x v="3"/>
    <n v="5088.28"/>
    <x v="0"/>
    <n v="0.16"/>
    <x v="0"/>
    <x v="1"/>
  </r>
  <r>
    <x v="7"/>
    <x v="0"/>
    <x v="2"/>
    <x v="922"/>
    <n v="21"/>
    <x v="2"/>
    <n v="3200.75"/>
    <x v="0"/>
    <n v="0.21"/>
    <x v="1"/>
    <x v="1"/>
  </r>
  <r>
    <x v="7"/>
    <x v="1"/>
    <x v="0"/>
    <x v="923"/>
    <n v="33"/>
    <x v="3"/>
    <n v="3890.3599999999901"/>
    <x v="1"/>
    <n v="0.21"/>
    <x v="1"/>
    <x v="1"/>
  </r>
  <r>
    <x v="7"/>
    <x v="2"/>
    <x v="2"/>
    <x v="924"/>
    <n v="23"/>
    <x v="0"/>
    <n v="2074.25"/>
    <x v="0"/>
    <n v="0.12"/>
    <x v="0"/>
    <x v="0"/>
  </r>
  <r>
    <x v="7"/>
    <x v="0"/>
    <x v="2"/>
    <x v="925"/>
    <n v="8"/>
    <x v="3"/>
    <n v="792.21"/>
    <x v="0"/>
    <n v="0.2"/>
    <x v="2"/>
    <x v="0"/>
  </r>
  <r>
    <x v="7"/>
    <x v="0"/>
    <x v="2"/>
    <x v="926"/>
    <n v="5"/>
    <x v="0"/>
    <n v="3714.52"/>
    <x v="1"/>
    <n v="0.27"/>
    <x v="2"/>
    <x v="1"/>
  </r>
  <r>
    <x v="7"/>
    <x v="2"/>
    <x v="3"/>
    <x v="927"/>
    <n v="2"/>
    <x v="0"/>
    <n v="4017.91"/>
    <x v="1"/>
    <n v="0.16"/>
    <x v="0"/>
    <x v="0"/>
  </r>
  <r>
    <x v="7"/>
    <x v="1"/>
    <x v="0"/>
    <x v="928"/>
    <n v="47"/>
    <x v="1"/>
    <n v="3696.1"/>
    <x v="1"/>
    <n v="0.15"/>
    <x v="0"/>
    <x v="1"/>
  </r>
  <r>
    <x v="7"/>
    <x v="1"/>
    <x v="3"/>
    <x v="929"/>
    <n v="8"/>
    <x v="3"/>
    <n v="4166.95"/>
    <x v="1"/>
    <n v="0.16"/>
    <x v="0"/>
    <x v="0"/>
  </r>
  <r>
    <x v="7"/>
    <x v="1"/>
    <x v="1"/>
    <x v="930"/>
    <n v="17"/>
    <x v="0"/>
    <n v="676.66"/>
    <x v="1"/>
    <n v="0.25"/>
    <x v="1"/>
    <x v="1"/>
  </r>
  <r>
    <x v="7"/>
    <x v="3"/>
    <x v="2"/>
    <x v="931"/>
    <n v="45"/>
    <x v="1"/>
    <n v="4551.5999999999904"/>
    <x v="0"/>
    <n v="0.08"/>
    <x v="0"/>
    <x v="0"/>
  </r>
  <r>
    <x v="7"/>
    <x v="3"/>
    <x v="1"/>
    <x v="932"/>
    <n v="13"/>
    <x v="1"/>
    <n v="1882.57"/>
    <x v="1"/>
    <n v="0.28000000000000003"/>
    <x v="1"/>
    <x v="0"/>
  </r>
  <r>
    <x v="7"/>
    <x v="3"/>
    <x v="0"/>
    <x v="933"/>
    <n v="31"/>
    <x v="0"/>
    <n v="2453.35"/>
    <x v="1"/>
    <n v="0.19"/>
    <x v="2"/>
    <x v="0"/>
  </r>
  <r>
    <x v="11"/>
    <x v="4"/>
    <x v="2"/>
    <x v="934"/>
    <n v="47"/>
    <x v="0"/>
    <n v="3998.91"/>
    <x v="0"/>
    <n v="0.25"/>
    <x v="2"/>
    <x v="0"/>
  </r>
  <r>
    <x v="7"/>
    <x v="0"/>
    <x v="3"/>
    <x v="935"/>
    <n v="25"/>
    <x v="1"/>
    <n v="4293.6899999999996"/>
    <x v="0"/>
    <n v="0.11"/>
    <x v="0"/>
    <x v="0"/>
  </r>
  <r>
    <x v="7"/>
    <x v="0"/>
    <x v="0"/>
    <x v="936"/>
    <n v="32"/>
    <x v="3"/>
    <n v="4706.7"/>
    <x v="0"/>
    <n v="0.01"/>
    <x v="0"/>
    <x v="1"/>
  </r>
  <r>
    <x v="7"/>
    <x v="1"/>
    <x v="2"/>
    <x v="937"/>
    <n v="32"/>
    <x v="2"/>
    <n v="3193.25"/>
    <x v="0"/>
    <n v="0.2"/>
    <x v="0"/>
    <x v="0"/>
  </r>
  <r>
    <x v="7"/>
    <x v="3"/>
    <x v="2"/>
    <x v="938"/>
    <n v="44"/>
    <x v="0"/>
    <n v="2217.5100000000002"/>
    <x v="1"/>
    <n v="0.08"/>
    <x v="2"/>
    <x v="0"/>
  </r>
  <r>
    <x v="7"/>
    <x v="0"/>
    <x v="1"/>
    <x v="939"/>
    <n v="4"/>
    <x v="3"/>
    <n v="3555.35"/>
    <x v="0"/>
    <n v="0.28000000000000003"/>
    <x v="2"/>
    <x v="0"/>
  </r>
  <r>
    <x v="7"/>
    <x v="3"/>
    <x v="3"/>
    <x v="940"/>
    <n v="29"/>
    <x v="1"/>
    <n v="3383.67"/>
    <x v="0"/>
    <n v="0.05"/>
    <x v="2"/>
    <x v="1"/>
  </r>
  <r>
    <x v="7"/>
    <x v="4"/>
    <x v="0"/>
    <x v="941"/>
    <n v="42"/>
    <x v="3"/>
    <n v="3745.91"/>
    <x v="1"/>
    <n v="0.1"/>
    <x v="1"/>
    <x v="0"/>
  </r>
  <r>
    <x v="7"/>
    <x v="3"/>
    <x v="1"/>
    <x v="942"/>
    <n v="22"/>
    <x v="0"/>
    <n v="2533.04"/>
    <x v="1"/>
    <n v="0.02"/>
    <x v="0"/>
    <x v="1"/>
  </r>
  <r>
    <x v="7"/>
    <x v="3"/>
    <x v="0"/>
    <x v="943"/>
    <n v="11"/>
    <x v="2"/>
    <n v="1515.48999999999"/>
    <x v="1"/>
    <n v="0.21"/>
    <x v="0"/>
    <x v="1"/>
  </r>
  <r>
    <x v="1"/>
    <x v="4"/>
    <x v="2"/>
    <x v="944"/>
    <n v="31"/>
    <x v="0"/>
    <n v="4880.7999999999902"/>
    <x v="0"/>
    <n v="0.06"/>
    <x v="1"/>
    <x v="1"/>
  </r>
  <r>
    <x v="7"/>
    <x v="1"/>
    <x v="0"/>
    <x v="945"/>
    <n v="49"/>
    <x v="1"/>
    <n v="3385.6099999999901"/>
    <x v="0"/>
    <n v="0.13"/>
    <x v="1"/>
    <x v="0"/>
  </r>
  <r>
    <x v="7"/>
    <x v="4"/>
    <x v="3"/>
    <x v="946"/>
    <n v="39"/>
    <x v="1"/>
    <n v="3743.39"/>
    <x v="0"/>
    <n v="0.01"/>
    <x v="0"/>
    <x v="0"/>
  </r>
  <r>
    <x v="10"/>
    <x v="4"/>
    <x v="0"/>
    <x v="947"/>
    <n v="32"/>
    <x v="1"/>
    <n v="4785.66"/>
    <x v="0"/>
    <n v="0.03"/>
    <x v="1"/>
    <x v="0"/>
  </r>
  <r>
    <x v="7"/>
    <x v="1"/>
    <x v="3"/>
    <x v="948"/>
    <n v="44"/>
    <x v="3"/>
    <n v="2217.8000000000002"/>
    <x v="0"/>
    <n v="0.22"/>
    <x v="0"/>
    <x v="0"/>
  </r>
  <r>
    <x v="7"/>
    <x v="0"/>
    <x v="2"/>
    <x v="949"/>
    <n v="12"/>
    <x v="0"/>
    <n v="5036.3999999999996"/>
    <x v="0"/>
    <n v="0.2"/>
    <x v="0"/>
    <x v="1"/>
  </r>
  <r>
    <x v="7"/>
    <x v="0"/>
    <x v="1"/>
    <x v="950"/>
    <n v="12"/>
    <x v="0"/>
    <n v="700.25"/>
    <x v="1"/>
    <n v="0.14000000000000001"/>
    <x v="1"/>
    <x v="0"/>
  </r>
  <r>
    <x v="7"/>
    <x v="3"/>
    <x v="0"/>
    <x v="951"/>
    <n v="15"/>
    <x v="2"/>
    <n v="4338.67"/>
    <x v="1"/>
    <n v="0.26"/>
    <x v="2"/>
    <x v="0"/>
  </r>
  <r>
    <x v="7"/>
    <x v="3"/>
    <x v="1"/>
    <x v="952"/>
    <n v="20"/>
    <x v="0"/>
    <n v="2066.5"/>
    <x v="1"/>
    <n v="0.06"/>
    <x v="0"/>
    <x v="0"/>
  </r>
  <r>
    <x v="6"/>
    <x v="4"/>
    <x v="0"/>
    <x v="953"/>
    <n v="45"/>
    <x v="1"/>
    <n v="4533.3100000000004"/>
    <x v="1"/>
    <n v="0.27"/>
    <x v="2"/>
    <x v="0"/>
  </r>
  <r>
    <x v="10"/>
    <x v="4"/>
    <x v="2"/>
    <x v="954"/>
    <n v="37"/>
    <x v="1"/>
    <n v="4823.5"/>
    <x v="1"/>
    <n v="0.14000000000000001"/>
    <x v="2"/>
    <x v="0"/>
  </r>
  <r>
    <x v="3"/>
    <x v="4"/>
    <x v="3"/>
    <x v="955"/>
    <n v="42"/>
    <x v="3"/>
    <n v="3702.8399999999901"/>
    <x v="1"/>
    <n v="0.01"/>
    <x v="1"/>
    <x v="1"/>
  </r>
  <r>
    <x v="7"/>
    <x v="1"/>
    <x v="2"/>
    <x v="956"/>
    <n v="31"/>
    <x v="2"/>
    <n v="4696.8500000000004"/>
    <x v="1"/>
    <n v="0.25"/>
    <x v="0"/>
    <x v="1"/>
  </r>
  <r>
    <x v="7"/>
    <x v="3"/>
    <x v="2"/>
    <x v="957"/>
    <n v="32"/>
    <x v="1"/>
    <n v="3074.59"/>
    <x v="0"/>
    <n v="0.14000000000000001"/>
    <x v="1"/>
    <x v="1"/>
  </r>
  <r>
    <x v="6"/>
    <x v="4"/>
    <x v="0"/>
    <x v="958"/>
    <n v="37"/>
    <x v="1"/>
    <n v="4801.0600000000004"/>
    <x v="0"/>
    <n v="0.13"/>
    <x v="0"/>
    <x v="1"/>
  </r>
  <r>
    <x v="7"/>
    <x v="3"/>
    <x v="3"/>
    <x v="959"/>
    <n v="32"/>
    <x v="2"/>
    <n v="2696.78"/>
    <x v="0"/>
    <n v="0.09"/>
    <x v="1"/>
    <x v="1"/>
  </r>
  <r>
    <x v="7"/>
    <x v="3"/>
    <x v="3"/>
    <x v="960"/>
    <n v="49"/>
    <x v="0"/>
    <n v="799.27"/>
    <x v="0"/>
    <n v="0.1"/>
    <x v="0"/>
    <x v="0"/>
  </r>
  <r>
    <x v="7"/>
    <x v="1"/>
    <x v="1"/>
    <x v="961"/>
    <n v="33"/>
    <x v="2"/>
    <n v="1994.01"/>
    <x v="1"/>
    <n v="0.08"/>
    <x v="1"/>
    <x v="0"/>
  </r>
  <r>
    <x v="2"/>
    <x v="4"/>
    <x v="2"/>
    <x v="962"/>
    <n v="43"/>
    <x v="3"/>
    <n v="4864.34"/>
    <x v="1"/>
    <n v="0.25"/>
    <x v="0"/>
    <x v="0"/>
  </r>
  <r>
    <x v="6"/>
    <x v="4"/>
    <x v="2"/>
    <x v="963"/>
    <n v="45"/>
    <x v="3"/>
    <n v="3780.88"/>
    <x v="0"/>
    <n v="7.0000000000000007E-2"/>
    <x v="1"/>
    <x v="1"/>
  </r>
  <r>
    <x v="7"/>
    <x v="2"/>
    <x v="2"/>
    <x v="964"/>
    <n v="15"/>
    <x v="3"/>
    <n v="2696.02"/>
    <x v="0"/>
    <n v="0.3"/>
    <x v="1"/>
    <x v="0"/>
  </r>
  <r>
    <x v="4"/>
    <x v="4"/>
    <x v="3"/>
    <x v="965"/>
    <n v="45"/>
    <x v="3"/>
    <n v="5119.91"/>
    <x v="1"/>
    <n v="0.28999999999999998"/>
    <x v="1"/>
    <x v="1"/>
  </r>
  <r>
    <x v="7"/>
    <x v="2"/>
    <x v="3"/>
    <x v="966"/>
    <n v="46"/>
    <x v="0"/>
    <n v="2740.93"/>
    <x v="1"/>
    <n v="0.25"/>
    <x v="0"/>
    <x v="0"/>
  </r>
  <r>
    <x v="5"/>
    <x v="4"/>
    <x v="1"/>
    <x v="967"/>
    <n v="47"/>
    <x v="1"/>
    <n v="4658.6400000000003"/>
    <x v="0"/>
    <n v="0.24"/>
    <x v="2"/>
    <x v="1"/>
  </r>
  <r>
    <x v="7"/>
    <x v="1"/>
    <x v="3"/>
    <x v="968"/>
    <n v="22"/>
    <x v="3"/>
    <n v="613.09"/>
    <x v="1"/>
    <n v="0.06"/>
    <x v="1"/>
    <x v="0"/>
  </r>
  <r>
    <x v="7"/>
    <x v="1"/>
    <x v="2"/>
    <x v="969"/>
    <n v="45"/>
    <x v="3"/>
    <n v="1844.8"/>
    <x v="1"/>
    <n v="0.18"/>
    <x v="1"/>
    <x v="0"/>
  </r>
  <r>
    <x v="7"/>
    <x v="2"/>
    <x v="0"/>
    <x v="970"/>
    <n v="38"/>
    <x v="2"/>
    <n v="3381.22"/>
    <x v="1"/>
    <n v="0.23"/>
    <x v="1"/>
    <x v="1"/>
  </r>
  <r>
    <x v="9"/>
    <x v="4"/>
    <x v="2"/>
    <x v="971"/>
    <n v="42"/>
    <x v="1"/>
    <n v="5186.1899999999996"/>
    <x v="1"/>
    <n v="0.22"/>
    <x v="2"/>
    <x v="0"/>
  </r>
  <r>
    <x v="5"/>
    <x v="4"/>
    <x v="2"/>
    <x v="972"/>
    <n v="42"/>
    <x v="0"/>
    <n v="4387.99"/>
    <x v="0"/>
    <n v="7.0000000000000007E-2"/>
    <x v="2"/>
    <x v="1"/>
  </r>
  <r>
    <x v="7"/>
    <x v="2"/>
    <x v="3"/>
    <x v="973"/>
    <n v="23"/>
    <x v="3"/>
    <n v="2319.62"/>
    <x v="1"/>
    <n v="0.23"/>
    <x v="0"/>
    <x v="1"/>
  </r>
  <r>
    <x v="4"/>
    <x v="4"/>
    <x v="3"/>
    <x v="974"/>
    <n v="45"/>
    <x v="0"/>
    <n v="5166.72"/>
    <x v="1"/>
    <n v="0.25"/>
    <x v="2"/>
    <x v="0"/>
  </r>
  <r>
    <x v="7"/>
    <x v="0"/>
    <x v="3"/>
    <x v="975"/>
    <n v="46"/>
    <x v="3"/>
    <n v="4675.8999999999996"/>
    <x v="0"/>
    <n v="0.19"/>
    <x v="1"/>
    <x v="1"/>
  </r>
  <r>
    <x v="7"/>
    <x v="1"/>
    <x v="1"/>
    <x v="976"/>
    <n v="34"/>
    <x v="0"/>
    <n v="5402.28"/>
    <x v="1"/>
    <n v="0"/>
    <x v="1"/>
    <x v="1"/>
  </r>
  <r>
    <x v="7"/>
    <x v="0"/>
    <x v="3"/>
    <x v="977"/>
    <n v="40"/>
    <x v="2"/>
    <n v="436.53"/>
    <x v="0"/>
    <n v="0.04"/>
    <x v="1"/>
    <x v="1"/>
  </r>
  <r>
    <x v="8"/>
    <x v="4"/>
    <x v="3"/>
    <x v="978"/>
    <n v="45"/>
    <x v="2"/>
    <n v="4825.92"/>
    <x v="1"/>
    <n v="0.19"/>
    <x v="0"/>
    <x v="1"/>
  </r>
  <r>
    <x v="7"/>
    <x v="3"/>
    <x v="1"/>
    <x v="979"/>
    <n v="47"/>
    <x v="1"/>
    <n v="3483.1499999999901"/>
    <x v="1"/>
    <n v="0.18"/>
    <x v="1"/>
    <x v="0"/>
  </r>
  <r>
    <x v="7"/>
    <x v="3"/>
    <x v="3"/>
    <x v="980"/>
    <n v="13"/>
    <x v="1"/>
    <n v="2596.6099999999901"/>
    <x v="1"/>
    <n v="0.09"/>
    <x v="0"/>
    <x v="1"/>
  </r>
  <r>
    <x v="7"/>
    <x v="0"/>
    <x v="2"/>
    <x v="981"/>
    <n v="42"/>
    <x v="1"/>
    <n v="3159.88"/>
    <x v="0"/>
    <n v="0.04"/>
    <x v="1"/>
    <x v="1"/>
  </r>
  <r>
    <x v="7"/>
    <x v="0"/>
    <x v="1"/>
    <x v="982"/>
    <n v="28"/>
    <x v="1"/>
    <n v="4055.44"/>
    <x v="0"/>
    <n v="0.03"/>
    <x v="0"/>
    <x v="1"/>
  </r>
  <r>
    <x v="2"/>
    <x v="4"/>
    <x v="0"/>
    <x v="983"/>
    <n v="48"/>
    <x v="1"/>
    <n v="4391.67"/>
    <x v="1"/>
    <n v="0.16"/>
    <x v="2"/>
    <x v="1"/>
  </r>
  <r>
    <x v="7"/>
    <x v="0"/>
    <x v="0"/>
    <x v="984"/>
    <n v="12"/>
    <x v="1"/>
    <n v="5079.68"/>
    <x v="0"/>
    <n v="0.21"/>
    <x v="2"/>
    <x v="1"/>
  </r>
  <r>
    <x v="7"/>
    <x v="3"/>
    <x v="2"/>
    <x v="985"/>
    <n v="25"/>
    <x v="3"/>
    <n v="1408.4"/>
    <x v="1"/>
    <n v="0.28999999999999998"/>
    <x v="0"/>
    <x v="1"/>
  </r>
  <r>
    <x v="6"/>
    <x v="4"/>
    <x v="0"/>
    <x v="986"/>
    <n v="46"/>
    <x v="0"/>
    <n v="5026.1899999999996"/>
    <x v="1"/>
    <n v="0.22"/>
    <x v="0"/>
    <x v="1"/>
  </r>
  <r>
    <x v="7"/>
    <x v="1"/>
    <x v="0"/>
    <x v="987"/>
    <n v="28"/>
    <x v="0"/>
    <n v="2173.4699999999998"/>
    <x v="1"/>
    <n v="0.1"/>
    <x v="1"/>
    <x v="1"/>
  </r>
  <r>
    <x v="7"/>
    <x v="2"/>
    <x v="0"/>
    <x v="988"/>
    <n v="33"/>
    <x v="2"/>
    <n v="878.43"/>
    <x v="0"/>
    <n v="0.09"/>
    <x v="1"/>
    <x v="1"/>
  </r>
  <r>
    <x v="7"/>
    <x v="3"/>
    <x v="3"/>
    <x v="989"/>
    <n v="46"/>
    <x v="0"/>
    <n v="526.14"/>
    <x v="1"/>
    <n v="0.11"/>
    <x v="2"/>
    <x v="0"/>
  </r>
  <r>
    <x v="7"/>
    <x v="2"/>
    <x v="3"/>
    <x v="990"/>
    <n v="18"/>
    <x v="2"/>
    <n v="1586.29"/>
    <x v="0"/>
    <n v="0.04"/>
    <x v="2"/>
    <x v="0"/>
  </r>
  <r>
    <x v="3"/>
    <x v="4"/>
    <x v="2"/>
    <x v="991"/>
    <n v="47"/>
    <x v="2"/>
    <n v="4142.09"/>
    <x v="1"/>
    <n v="0.03"/>
    <x v="2"/>
    <x v="1"/>
  </r>
  <r>
    <x v="7"/>
    <x v="3"/>
    <x v="1"/>
    <x v="992"/>
    <n v="4"/>
    <x v="2"/>
    <n v="1647.25"/>
    <x v="1"/>
    <n v="0.04"/>
    <x v="2"/>
    <x v="1"/>
  </r>
  <r>
    <x v="7"/>
    <x v="1"/>
    <x v="3"/>
    <x v="993"/>
    <n v="35"/>
    <x v="3"/>
    <n v="5118.83"/>
    <x v="1"/>
    <n v="7.0000000000000007E-2"/>
    <x v="2"/>
    <x v="1"/>
  </r>
  <r>
    <x v="7"/>
    <x v="3"/>
    <x v="2"/>
    <x v="994"/>
    <n v="19"/>
    <x v="0"/>
    <n v="423.13"/>
    <x v="0"/>
    <n v="0.24"/>
    <x v="2"/>
    <x v="0"/>
  </r>
  <r>
    <x v="4"/>
    <x v="4"/>
    <x v="1"/>
    <x v="995"/>
    <n v="47"/>
    <x v="1"/>
    <n v="4320.93"/>
    <x v="0"/>
    <n v="7.0000000000000007E-2"/>
    <x v="1"/>
    <x v="0"/>
  </r>
  <r>
    <x v="2"/>
    <x v="4"/>
    <x v="1"/>
    <x v="996"/>
    <n v="46"/>
    <x v="3"/>
    <n v="4294.8500000000004"/>
    <x v="1"/>
    <n v="0.03"/>
    <x v="0"/>
    <x v="1"/>
  </r>
  <r>
    <x v="12"/>
    <x v="1"/>
    <x v="3"/>
    <x v="997"/>
    <n v="24"/>
    <x v="1"/>
    <n v="1729.81"/>
    <x v="0"/>
    <n v="0.28999999999999998"/>
    <x v="0"/>
    <x v="0"/>
  </r>
  <r>
    <x v="5"/>
    <x v="4"/>
    <x v="1"/>
    <x v="998"/>
    <n v="47"/>
    <x v="2"/>
    <n v="5316.13"/>
    <x v="0"/>
    <n v="0.06"/>
    <x v="0"/>
    <x v="0"/>
  </r>
  <r>
    <x v="12"/>
    <x v="3"/>
    <x v="0"/>
    <x v="999"/>
    <n v="11"/>
    <x v="3"/>
    <n v="503.36"/>
    <x v="1"/>
    <n v="0.2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CF305-A39C-43DB-84A4-C0D84DAC280B}" name="KPI Cards"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C3" firstHeaderRow="0" firstDataRow="1" firstDataCol="0"/>
  <pivotFields count="11">
    <pivotField showAll="0">
      <items count="14">
        <item x="0"/>
        <item x="9"/>
        <item x="4"/>
        <item x="6"/>
        <item x="5"/>
        <item x="11"/>
        <item x="1"/>
        <item x="8"/>
        <item x="10"/>
        <item x="2"/>
        <item x="3"/>
        <item x="7"/>
        <item x="12"/>
        <item t="default"/>
      </items>
    </pivotField>
    <pivotField showAll="0"/>
    <pivotField showAll="0"/>
    <pivotField dataField="1" numFmtId="164" showAll="0"/>
    <pivotField dataField="1" numFmtId="1" showAll="0"/>
    <pivotField showAll="0"/>
    <pivotField numFmtId="164" showAll="0"/>
    <pivotField showAll="0"/>
    <pivotField dataField="1" numFmtId="9" showAll="0"/>
    <pivotField showAll="0"/>
    <pivotField showAll="0"/>
  </pivotFields>
  <rowItems count="1">
    <i/>
  </rowItems>
  <colFields count="1">
    <field x="-2"/>
  </colFields>
  <colItems count="3">
    <i>
      <x/>
    </i>
    <i i="1">
      <x v="1"/>
    </i>
    <i i="2">
      <x v="2"/>
    </i>
  </colItems>
  <dataFields count="3">
    <dataField name="Total Sales Amount" fld="3" baseField="0" baseItem="0" numFmtId="166"/>
    <dataField name="Total Quantity Sold" fld="4" baseField="0" baseItem="0" numFmtId="1"/>
    <dataField name="Average Discount(%)" fld="8" subtotal="average" baseField="0" baseItem="0" numFmtId="9"/>
  </dataFields>
  <formats count="2">
    <format dxfId="1">
      <pivotArea outline="0" fieldPosition="0">
        <references count="1">
          <reference field="4294967294" count="1">
            <x v="0"/>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B3058-DD50-414D-B26C-07D8E5CBB80F}" name="Customer Type by Qty. sold"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rowHeaderCaption="Customer Type ">
  <location ref="J21:K23" firstHeaderRow="1" firstDataRow="1" firstDataCol="1"/>
  <pivotFields count="11">
    <pivotField showAll="0">
      <items count="14">
        <item x="0"/>
        <item x="9"/>
        <item x="4"/>
        <item x="6"/>
        <item x="5"/>
        <item x="11"/>
        <item x="1"/>
        <item x="8"/>
        <item x="10"/>
        <item x="2"/>
        <item x="3"/>
        <item x="7"/>
        <item x="12"/>
        <item t="default"/>
      </items>
    </pivotField>
    <pivotField showAll="0"/>
    <pivotField showAll="0"/>
    <pivotField numFmtId="164" showAll="0"/>
    <pivotField dataField="1" numFmtId="1" showAll="0"/>
    <pivotField showAll="0"/>
    <pivotField numFmtId="164" showAll="0"/>
    <pivotField axis="axisRow" showAll="0">
      <items count="3">
        <item x="0"/>
        <item x="1"/>
        <item t="default"/>
      </items>
    </pivotField>
    <pivotField numFmtId="9" showAll="0"/>
    <pivotField showAll="0"/>
    <pivotField showAll="0"/>
  </pivotFields>
  <rowFields count="1">
    <field x="7"/>
  </rowFields>
  <rowItems count="2">
    <i>
      <x/>
    </i>
    <i>
      <x v="1"/>
    </i>
  </rowItems>
  <colItems count="1">
    <i/>
  </colItems>
  <dataFields count="1">
    <dataField name="Quantity Sold " fld="4" baseField="0" baseItem="0" numFmtId="1"/>
  </dataFields>
  <chartFormats count="3">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7" count="1" selected="0">
            <x v="0"/>
          </reference>
        </references>
      </pivotArea>
    </chartFormat>
    <chartFormat chart="10" format="1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3B56E-70DF-429E-BB25-9C6574C1409F}" name="Sales Channel by Revenue"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1" rowHeaderCaption="Sales Channel">
  <location ref="G17:H19" firstHeaderRow="1" firstDataRow="1" firstDataCol="1" rowPageCount="1" colPageCount="1"/>
  <pivotFields count="11">
    <pivotField showAll="0">
      <items count="14">
        <item x="0"/>
        <item x="9"/>
        <item x="4"/>
        <item x="6"/>
        <item x="5"/>
        <item x="11"/>
        <item x="1"/>
        <item x="8"/>
        <item x="10"/>
        <item x="2"/>
        <item x="3"/>
        <item x="7"/>
        <item x="12"/>
        <item t="default"/>
      </items>
    </pivotField>
    <pivotField showAll="0"/>
    <pivotField axis="axisPage" showAll="0">
      <items count="5">
        <item x="1"/>
        <item x="2"/>
        <item x="0"/>
        <item x="3"/>
        <item t="default"/>
      </items>
    </pivotField>
    <pivotField dataField="1" numFmtId="164" showAll="0"/>
    <pivotField numFmtId="1" showAll="0"/>
    <pivotField showAll="0"/>
    <pivotField numFmtId="164" showAll="0"/>
    <pivotField showAll="0"/>
    <pivotField numFmtId="9" showAll="0"/>
    <pivotField showAll="0"/>
    <pivotField axis="axisRow" showAll="0">
      <items count="3">
        <item x="0"/>
        <item x="1"/>
        <item t="default"/>
      </items>
    </pivotField>
  </pivotFields>
  <rowFields count="1">
    <field x="10"/>
  </rowFields>
  <rowItems count="2">
    <i>
      <x/>
    </i>
    <i>
      <x v="1"/>
    </i>
  </rowItems>
  <colItems count="1">
    <i/>
  </colItems>
  <pageFields count="1">
    <pageField fld="2" hier="-1"/>
  </pageFields>
  <dataFields count="1">
    <dataField name="Total Sales Amount" fld="3" baseField="10" baseItem="0" numFmtId="166"/>
  </dataFields>
  <formats count="1">
    <format dxfId="2">
      <pivotArea outline="0" collapsedLevelsAreSubtotals="1" fieldPosition="0"/>
    </format>
  </formats>
  <chartFormats count="3">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0" count="1" selected="0">
            <x v="0"/>
          </reference>
        </references>
      </pivotArea>
    </chartFormat>
    <chartFormat chart="20" format="1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16A16-F85C-4BF5-8CC2-66DA737FE632}" name="Sales Rep by Revenue"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7" rowHeaderCaption="Sales Rep">
  <location ref="A17:B22" firstHeaderRow="1" firstDataRow="1" firstDataCol="1"/>
  <pivotFields count="11">
    <pivotField multipleItemSelectionAllowed="1" showAll="0">
      <items count="14">
        <item x="0"/>
        <item x="9"/>
        <item x="4"/>
        <item x="6"/>
        <item x="5"/>
        <item x="11"/>
        <item x="1"/>
        <item x="8"/>
        <item x="10"/>
        <item x="2"/>
        <item x="3"/>
        <item x="7"/>
        <item x="12"/>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dataField="1" numFmtId="164" showAll="0">
      <items count="1001">
        <item x="839"/>
        <item x="888"/>
        <item x="17"/>
        <item x="320"/>
        <item x="792"/>
        <item x="27"/>
        <item x="848"/>
        <item x="311"/>
        <item x="16"/>
        <item x="371"/>
        <item x="237"/>
        <item x="29"/>
        <item x="147"/>
        <item x="168"/>
        <item x="537"/>
        <item x="828"/>
        <item x="889"/>
        <item x="599"/>
        <item x="40"/>
        <item x="46"/>
        <item x="724"/>
        <item x="178"/>
        <item x="638"/>
        <item x="657"/>
        <item x="58"/>
        <item x="62"/>
        <item x="122"/>
        <item x="834"/>
        <item x="337"/>
        <item x="65"/>
        <item x="389"/>
        <item x="73"/>
        <item x="74"/>
        <item x="288"/>
        <item x="113"/>
        <item x="77"/>
        <item x="88"/>
        <item x="126"/>
        <item x="562"/>
        <item x="742"/>
        <item x="89"/>
        <item x="90"/>
        <item x="430"/>
        <item x="450"/>
        <item x="845"/>
        <item x="199"/>
        <item x="417"/>
        <item x="102"/>
        <item x="310"/>
        <item x="887"/>
        <item x="559"/>
        <item x="841"/>
        <item x="608"/>
        <item x="104"/>
        <item x="565"/>
        <item x="999"/>
        <item x="82"/>
        <item x="105"/>
        <item x="100"/>
        <item x="173"/>
        <item x="699"/>
        <item x="36"/>
        <item x="110"/>
        <item x="116"/>
        <item x="527"/>
        <item x="629"/>
        <item x="840"/>
        <item x="119"/>
        <item x="701"/>
        <item x="899"/>
        <item x="925"/>
        <item x="379"/>
        <item x="412"/>
        <item x="578"/>
        <item x="650"/>
        <item x="397"/>
        <item x="47"/>
        <item x="78"/>
        <item x="882"/>
        <item x="601"/>
        <item x="123"/>
        <item x="994"/>
        <item x="441"/>
        <item x="453"/>
        <item x="468"/>
        <item x="189"/>
        <item x="566"/>
        <item x="992"/>
        <item x="879"/>
        <item x="746"/>
        <item x="607"/>
        <item x="461"/>
        <item x="927"/>
        <item x="128"/>
        <item x="130"/>
        <item x="331"/>
        <item x="950"/>
        <item x="464"/>
        <item x="171"/>
        <item x="475"/>
        <item x="21"/>
        <item x="705"/>
        <item x="132"/>
        <item x="617"/>
        <item x="285"/>
        <item x="308"/>
        <item x="639"/>
        <item x="480"/>
        <item x="175"/>
        <item x="137"/>
        <item x="457"/>
        <item x="698"/>
        <item x="458"/>
        <item x="195"/>
        <item x="138"/>
        <item x="57"/>
        <item x="930"/>
        <item x="2"/>
        <item x="143"/>
        <item x="149"/>
        <item x="545"/>
        <item x="665"/>
        <item x="135"/>
        <item x="855"/>
        <item x="234"/>
        <item x="651"/>
        <item x="805"/>
        <item x="186"/>
        <item x="155"/>
        <item x="920"/>
        <item x="208"/>
        <item x="282"/>
        <item x="48"/>
        <item x="621"/>
        <item x="659"/>
        <item x="103"/>
        <item x="838"/>
        <item x="686"/>
        <item x="634"/>
        <item x="939"/>
        <item x="515"/>
        <item x="266"/>
        <item x="463"/>
        <item x="14"/>
        <item x="361"/>
        <item x="55"/>
        <item x="153"/>
        <item x="465"/>
        <item x="72"/>
        <item x="114"/>
        <item x="45"/>
        <item x="156"/>
        <item x="682"/>
        <item x="174"/>
        <item x="422"/>
        <item x="177"/>
        <item x="414"/>
        <item x="183"/>
        <item x="723"/>
        <item x="853"/>
        <item x="837"/>
        <item x="968"/>
        <item x="398"/>
        <item x="380"/>
        <item x="187"/>
        <item x="188"/>
        <item x="317"/>
        <item x="194"/>
        <item x="943"/>
        <item x="444"/>
        <item x="202"/>
        <item x="50"/>
        <item x="75"/>
        <item x="203"/>
        <item x="818"/>
        <item x="63"/>
        <item x="352"/>
        <item x="926"/>
        <item x="204"/>
        <item x="786"/>
        <item x="754"/>
        <item x="221"/>
        <item x="844"/>
        <item x="560"/>
        <item x="296"/>
        <item x="756"/>
        <item x="485"/>
        <item x="891"/>
        <item x="211"/>
        <item x="309"/>
        <item x="298"/>
        <item x="133"/>
        <item x="613"/>
        <item x="479"/>
        <item x="435"/>
        <item x="334"/>
        <item x="703"/>
        <item x="215"/>
        <item x="471"/>
        <item x="806"/>
        <item x="252"/>
        <item x="519"/>
        <item x="79"/>
        <item x="616"/>
        <item x="220"/>
        <item x="329"/>
        <item x="770"/>
        <item x="977"/>
        <item x="223"/>
        <item x="293"/>
        <item x="326"/>
        <item x="852"/>
        <item x="769"/>
        <item x="231"/>
        <item x="691"/>
        <item x="393"/>
        <item x="894"/>
        <item x="449"/>
        <item x="279"/>
        <item x="232"/>
        <item x="932"/>
        <item x="152"/>
        <item x="145"/>
        <item x="822"/>
        <item x="669"/>
        <item x="235"/>
        <item x="630"/>
        <item x="643"/>
        <item x="340"/>
        <item x="236"/>
        <item x="136"/>
        <item x="241"/>
        <item x="247"/>
        <item x="249"/>
        <item x="524"/>
        <item x="140"/>
        <item x="438"/>
        <item x="250"/>
        <item x="727"/>
        <item x="720"/>
        <item x="30"/>
        <item x="265"/>
        <item x="391"/>
        <item x="323"/>
        <item x="580"/>
        <item x="730"/>
        <item x="264"/>
        <item x="596"/>
        <item x="680"/>
        <item x="273"/>
        <item x="517"/>
        <item x="274"/>
        <item x="763"/>
        <item x="498"/>
        <item x="771"/>
        <item x="866"/>
        <item x="390"/>
        <item x="717"/>
        <item x="276"/>
        <item x="284"/>
        <item x="286"/>
        <item x="300"/>
        <item x="627"/>
        <item x="306"/>
        <item x="315"/>
        <item x="842"/>
        <item x="989"/>
        <item x="184"/>
        <item x="504"/>
        <item x="363"/>
        <item x="301"/>
        <item x="259"/>
        <item x="907"/>
        <item x="750"/>
        <item x="318"/>
        <item x="321"/>
        <item x="405"/>
        <item x="713"/>
        <item x="835"/>
        <item x="863"/>
        <item x="131"/>
        <item x="327"/>
        <item x="322"/>
        <item x="911"/>
        <item x="275"/>
        <item x="903"/>
        <item x="645"/>
        <item x="354"/>
        <item x="759"/>
        <item x="330"/>
        <item x="335"/>
        <item x="111"/>
        <item x="772"/>
        <item x="445"/>
        <item x="336"/>
        <item x="531"/>
        <item x="81"/>
        <item x="597"/>
        <item x="433"/>
        <item x="351"/>
        <item x="33"/>
        <item x="347"/>
        <item x="205"/>
        <item x="299"/>
        <item x="355"/>
        <item x="413"/>
        <item x="32"/>
        <item x="985"/>
        <item x="34"/>
        <item x="358"/>
        <item x="817"/>
        <item x="360"/>
        <item x="760"/>
        <item x="876"/>
        <item x="427"/>
        <item x="368"/>
        <item x="251"/>
        <item x="19"/>
        <item x="432"/>
        <item x="297"/>
        <item x="988"/>
        <item x="462"/>
        <item x="400"/>
        <item x="375"/>
        <item x="915"/>
        <item x="198"/>
        <item x="377"/>
        <item x="577"/>
        <item x="378"/>
        <item x="690"/>
        <item x="836"/>
        <item x="990"/>
        <item x="92"/>
        <item x="624"/>
        <item x="901"/>
        <item x="269"/>
        <item x="97"/>
        <item x="5"/>
        <item x="197"/>
        <item x="808"/>
        <item x="495"/>
        <item x="28"/>
        <item x="68"/>
        <item x="101"/>
        <item x="929"/>
        <item x="507"/>
        <item x="512"/>
        <item x="304"/>
        <item x="22"/>
        <item x="964"/>
        <item x="384"/>
        <item x="878"/>
        <item x="181"/>
        <item x="604"/>
        <item x="494"/>
        <item x="810"/>
        <item x="829"/>
        <item x="416"/>
        <item x="18"/>
        <item x="35"/>
        <item x="476"/>
        <item x="386"/>
        <item x="521"/>
        <item x="997"/>
        <item x="881"/>
        <item x="396"/>
        <item x="496"/>
        <item x="403"/>
        <item x="473"/>
        <item x="539"/>
        <item x="222"/>
        <item x="56"/>
        <item x="869"/>
        <item x="813"/>
        <item x="42"/>
        <item x="514"/>
        <item x="980"/>
        <item x="12"/>
        <item x="107"/>
        <item x="679"/>
        <item x="404"/>
        <item x="408"/>
        <item x="292"/>
        <item x="25"/>
        <item x="409"/>
        <item x="681"/>
        <item x="870"/>
        <item x="700"/>
        <item x="493"/>
        <item x="419"/>
        <item x="426"/>
        <item x="431"/>
        <item x="257"/>
        <item x="830"/>
        <item x="736"/>
        <item x="437"/>
        <item x="451"/>
        <item x="534"/>
        <item x="846"/>
        <item x="456"/>
        <item x="258"/>
        <item x="594"/>
        <item x="158"/>
        <item x="546"/>
        <item x="469"/>
        <item x="472"/>
        <item x="338"/>
        <item x="526"/>
        <item x="278"/>
        <item x="654"/>
        <item x="162"/>
        <item x="359"/>
        <item x="344"/>
        <item x="773"/>
        <item x="536"/>
        <item x="711"/>
        <item x="20"/>
        <item x="474"/>
        <item x="960"/>
        <item x="778"/>
        <item x="482"/>
        <item x="809"/>
        <item x="440"/>
        <item x="423"/>
        <item x="737"/>
        <item x="672"/>
        <item x="260"/>
        <item x="906"/>
        <item x="532"/>
        <item x="484"/>
        <item x="70"/>
        <item x="606"/>
        <item x="683"/>
        <item x="9"/>
        <item x="492"/>
        <item x="782"/>
        <item x="313"/>
        <item x="695"/>
        <item x="777"/>
        <item x="365"/>
        <item x="95"/>
        <item x="499"/>
        <item x="952"/>
        <item x="176"/>
        <item x="53"/>
        <item x="127"/>
        <item x="500"/>
        <item x="307"/>
        <item x="573"/>
        <item x="503"/>
        <item x="11"/>
        <item x="509"/>
        <item x="678"/>
        <item x="467"/>
        <item x="877"/>
        <item x="890"/>
        <item x="373"/>
        <item x="366"/>
        <item x="553"/>
        <item x="510"/>
        <item x="470"/>
        <item x="898"/>
        <item x="718"/>
        <item x="973"/>
        <item x="291"/>
        <item x="15"/>
        <item x="303"/>
        <item x="513"/>
        <item x="506"/>
        <item x="522"/>
        <item x="439"/>
        <item x="399"/>
        <item x="791"/>
        <item x="924"/>
        <item x="376"/>
        <item x="729"/>
        <item x="87"/>
        <item x="118"/>
        <item x="902"/>
        <item x="570"/>
        <item x="364"/>
        <item x="641"/>
        <item x="487"/>
        <item x="319"/>
        <item x="346"/>
        <item x="325"/>
        <item x="523"/>
        <item x="226"/>
        <item x="98"/>
        <item x="745"/>
        <item x="151"/>
        <item x="525"/>
        <item x="1"/>
        <item x="283"/>
        <item x="530"/>
        <item x="569"/>
        <item x="543"/>
        <item x="579"/>
        <item x="588"/>
        <item x="886"/>
        <item x="547"/>
        <item x="831"/>
        <item x="554"/>
        <item x="563"/>
        <item x="677"/>
        <item x="917"/>
        <item x="4"/>
        <item x="832"/>
        <item x="564"/>
        <item x="567"/>
        <item x="157"/>
        <item x="348"/>
        <item x="574"/>
        <item x="984"/>
        <item x="951"/>
        <item x="949"/>
        <item x="807"/>
        <item x="585"/>
        <item x="611"/>
        <item x="478"/>
        <item x="615"/>
        <item x="146"/>
        <item x="668"/>
        <item x="670"/>
        <item x="587"/>
        <item x="454"/>
        <item x="420"/>
        <item x="540"/>
        <item x="154"/>
        <item x="217"/>
        <item x="159"/>
        <item x="576"/>
        <item x="452"/>
        <item x="170"/>
        <item x="590"/>
        <item x="60"/>
        <item x="707"/>
        <item x="460"/>
        <item x="406"/>
        <item x="893"/>
        <item x="908"/>
        <item x="93"/>
        <item x="714"/>
        <item x="3"/>
        <item x="533"/>
        <item x="218"/>
        <item x="160"/>
        <item x="112"/>
        <item x="593"/>
        <item x="595"/>
        <item x="858"/>
        <item x="922"/>
        <item x="598"/>
        <item x="268"/>
        <item x="600"/>
        <item x="626"/>
        <item x="591"/>
        <item x="612"/>
        <item x="459"/>
        <item x="488"/>
        <item x="572"/>
        <item x="167"/>
        <item x="214"/>
        <item x="614"/>
        <item x="728"/>
        <item x="867"/>
        <item x="942"/>
        <item x="987"/>
        <item x="623"/>
        <item x="228"/>
        <item x="225"/>
        <item x="625"/>
        <item x="619"/>
        <item x="854"/>
        <item x="582"/>
        <item x="108"/>
        <item x="43"/>
        <item x="827"/>
        <item x="631"/>
        <item x="191"/>
        <item x="796"/>
        <item x="632"/>
        <item x="859"/>
        <item x="192"/>
        <item x="556"/>
        <item x="224"/>
        <item x="798"/>
        <item x="511"/>
        <item x="372"/>
        <item x="819"/>
        <item x="242"/>
        <item x="370"/>
        <item x="277"/>
        <item x="633"/>
        <item x="636"/>
        <item x="549"/>
        <item x="646"/>
        <item x="385"/>
        <item x="652"/>
        <item x="248"/>
        <item x="726"/>
        <item x="550"/>
        <item x="655"/>
        <item x="59"/>
        <item x="486"/>
        <item x="696"/>
        <item x="544"/>
        <item x="656"/>
        <item x="661"/>
        <item x="369"/>
        <item x="115"/>
        <item x="316"/>
        <item x="781"/>
        <item x="766"/>
        <item x="674"/>
        <item x="244"/>
        <item x="387"/>
        <item x="664"/>
        <item x="666"/>
        <item x="392"/>
        <item x="961"/>
        <item x="125"/>
        <item x="671"/>
        <item x="684"/>
        <item x="849"/>
        <item x="610"/>
        <item x="933"/>
        <item x="253"/>
        <item x="38"/>
        <item x="710"/>
        <item x="847"/>
        <item x="605"/>
        <item x="688"/>
        <item x="219"/>
        <item x="255"/>
        <item x="875"/>
        <item x="685"/>
        <item x="687"/>
        <item x="692"/>
        <item x="538"/>
        <item x="362"/>
        <item x="787"/>
        <item x="589"/>
        <item x="693"/>
        <item x="256"/>
        <item x="702"/>
        <item x="26"/>
        <item x="706"/>
        <item x="741"/>
        <item x="709"/>
        <item x="969"/>
        <item x="721"/>
        <item x="860"/>
        <item x="732"/>
        <item x="349"/>
        <item x="744"/>
        <item x="716"/>
        <item x="733"/>
        <item x="24"/>
        <item x="861"/>
        <item x="314"/>
        <item x="644"/>
        <item x="734"/>
        <item x="51"/>
        <item x="270"/>
        <item x="446"/>
        <item x="739"/>
        <item x="743"/>
        <item x="52"/>
        <item x="735"/>
        <item x="254"/>
        <item x="748"/>
        <item x="302"/>
        <item x="794"/>
        <item x="117"/>
        <item x="575"/>
        <item x="541"/>
        <item x="751"/>
        <item x="150"/>
        <item x="752"/>
        <item x="213"/>
        <item x="753"/>
        <item x="799"/>
        <item x="581"/>
        <item x="229"/>
        <item x="535"/>
        <item x="815"/>
        <item x="755"/>
        <item x="342"/>
        <item x="443"/>
        <item x="948"/>
        <item x="99"/>
        <item x="333"/>
        <item x="758"/>
        <item x="561"/>
        <item x="761"/>
        <item x="557"/>
        <item x="959"/>
        <item x="762"/>
        <item x="824"/>
        <item x="764"/>
        <item x="163"/>
        <item x="407"/>
        <item x="69"/>
        <item x="765"/>
        <item x="66"/>
        <item x="937"/>
        <item x="447"/>
        <item x="261"/>
        <item x="381"/>
        <item x="552"/>
        <item x="207"/>
        <item x="243"/>
        <item x="768"/>
        <item x="518"/>
        <item x="697"/>
        <item x="883"/>
        <item x="673"/>
        <item x="957"/>
        <item x="529"/>
        <item x="442"/>
        <item x="775"/>
        <item x="227"/>
        <item x="71"/>
        <item x="921"/>
        <item x="658"/>
        <item x="239"/>
        <item x="272"/>
        <item x="483"/>
        <item x="776"/>
        <item x="182"/>
        <item x="180"/>
        <item x="642"/>
        <item x="779"/>
        <item x="780"/>
        <item x="784"/>
        <item x="240"/>
        <item x="134"/>
        <item x="785"/>
        <item x="179"/>
        <item x="938"/>
        <item x="788"/>
        <item x="715"/>
        <item x="238"/>
        <item x="914"/>
        <item x="262"/>
        <item x="602"/>
        <item x="84"/>
        <item x="789"/>
        <item x="120"/>
        <item x="790"/>
        <item x="800"/>
        <item x="801"/>
        <item x="281"/>
        <item x="802"/>
        <item x="803"/>
        <item x="689"/>
        <item x="811"/>
        <item x="294"/>
        <item x="940"/>
        <item x="812"/>
        <item x="548"/>
        <item x="618"/>
        <item x="873"/>
        <item x="324"/>
        <item x="455"/>
        <item x="402"/>
        <item x="13"/>
        <item x="966"/>
        <item x="551"/>
        <item x="263"/>
        <item x="542"/>
        <item x="935"/>
        <item x="267"/>
        <item x="793"/>
        <item x="466"/>
        <item x="816"/>
        <item x="851"/>
        <item x="148"/>
        <item x="583"/>
        <item x="820"/>
        <item x="872"/>
        <item x="868"/>
        <item x="245"/>
        <item x="246"/>
        <item x="823"/>
        <item x="106"/>
        <item x="970"/>
        <item x="897"/>
        <item x="662"/>
        <item x="620"/>
        <item x="230"/>
        <item x="825"/>
        <item x="312"/>
        <item x="206"/>
        <item x="328"/>
        <item x="411"/>
        <item x="271"/>
        <item x="603"/>
        <item x="874"/>
        <item x="923"/>
        <item x="339"/>
        <item x="395"/>
        <item x="826"/>
        <item x="833"/>
        <item x="843"/>
        <item x="912"/>
        <item x="774"/>
        <item x="196"/>
        <item x="410"/>
        <item x="481"/>
        <item x="850"/>
        <item x="676"/>
        <item x="212"/>
        <item x="448"/>
        <item x="200"/>
        <item x="856"/>
        <item x="436"/>
        <item x="144"/>
        <item x="653"/>
        <item x="857"/>
        <item x="862"/>
        <item x="388"/>
        <item x="864"/>
        <item x="8"/>
        <item x="350"/>
        <item x="804"/>
        <item x="647"/>
        <item x="956"/>
        <item x="289"/>
        <item x="982"/>
        <item x="648"/>
        <item x="37"/>
        <item x="434"/>
        <item x="142"/>
        <item x="722"/>
        <item x="865"/>
        <item x="880"/>
        <item x="871"/>
        <item x="166"/>
        <item x="295"/>
        <item x="884"/>
        <item x="86"/>
        <item x="401"/>
        <item x="54"/>
        <item x="667"/>
        <item x="83"/>
        <item x="797"/>
        <item x="885"/>
        <item x="193"/>
        <item x="109"/>
        <item x="287"/>
        <item x="332"/>
        <item x="41"/>
        <item x="586"/>
        <item x="892"/>
        <item x="628"/>
        <item x="124"/>
        <item x="357"/>
        <item x="660"/>
        <item x="343"/>
        <item x="505"/>
        <item x="394"/>
        <item x="80"/>
        <item x="895"/>
        <item x="740"/>
        <item x="502"/>
        <item x="757"/>
        <item x="91"/>
        <item x="76"/>
        <item x="675"/>
        <item x="896"/>
        <item x="161"/>
        <item x="67"/>
        <item x="209"/>
        <item x="280"/>
        <item x="900"/>
        <item x="558"/>
        <item x="981"/>
        <item x="477"/>
        <item x="190"/>
        <item x="571"/>
        <item x="904"/>
        <item x="747"/>
        <item x="10"/>
        <item x="725"/>
        <item x="96"/>
        <item x="44"/>
        <item x="712"/>
        <item x="425"/>
        <item x="708"/>
        <item x="905"/>
        <item x="374"/>
        <item x="909"/>
        <item x="910"/>
        <item x="165"/>
        <item x="694"/>
        <item x="172"/>
        <item x="719"/>
        <item x="979"/>
        <item x="49"/>
        <item x="916"/>
        <item x="918"/>
        <item x="185"/>
        <item x="382"/>
        <item x="508"/>
        <item x="210"/>
        <item x="919"/>
        <item x="141"/>
        <item x="934"/>
        <item x="64"/>
        <item x="941"/>
        <item x="428"/>
        <item x="233"/>
        <item x="663"/>
        <item x="944"/>
        <item x="290"/>
        <item x="704"/>
        <item x="367"/>
        <item x="94"/>
        <item x="945"/>
        <item x="946"/>
        <item x="356"/>
        <item x="39"/>
        <item x="305"/>
        <item x="928"/>
        <item x="501"/>
        <item x="947"/>
        <item x="953"/>
        <item x="936"/>
        <item x="139"/>
        <item x="637"/>
        <item x="584"/>
        <item x="6"/>
        <item x="418"/>
        <item x="520"/>
        <item x="954"/>
        <item x="955"/>
        <item x="353"/>
        <item x="958"/>
        <item x="345"/>
        <item x="491"/>
        <item x="962"/>
        <item x="649"/>
        <item x="129"/>
        <item x="963"/>
        <item x="169"/>
        <item x="121"/>
        <item x="783"/>
        <item x="0"/>
        <item x="383"/>
        <item x="795"/>
        <item x="489"/>
        <item x="31"/>
        <item x="965"/>
        <item x="490"/>
        <item x="216"/>
        <item x="516"/>
        <item x="415"/>
        <item x="967"/>
        <item x="993"/>
        <item x="821"/>
        <item x="767"/>
        <item x="424"/>
        <item x="528"/>
        <item x="971"/>
        <item x="568"/>
        <item x="972"/>
        <item x="201"/>
        <item x="975"/>
        <item x="974"/>
        <item x="978"/>
        <item x="341"/>
        <item x="913"/>
        <item x="983"/>
        <item x="635"/>
        <item x="986"/>
        <item x="731"/>
        <item x="640"/>
        <item x="7"/>
        <item x="976"/>
        <item x="23"/>
        <item x="164"/>
        <item x="931"/>
        <item x="991"/>
        <item x="995"/>
        <item x="996"/>
        <item x="609"/>
        <item x="738"/>
        <item x="592"/>
        <item x="749"/>
        <item x="85"/>
        <item x="429"/>
        <item x="622"/>
        <item x="497"/>
        <item x="555"/>
        <item x="61"/>
        <item x="421"/>
        <item x="998"/>
        <item x="814"/>
        <item t="default"/>
      </items>
    </pivotField>
    <pivotField numFmtId="1" showAll="0"/>
    <pivotField showAll="0"/>
    <pivotField numFmtId="164" showAll="0"/>
    <pivotField showAll="0"/>
    <pivotField numFmtId="9" showAll="0"/>
    <pivotField showAll="0"/>
    <pivotField showAll="0"/>
  </pivotFields>
  <rowFields count="1">
    <field x="1"/>
  </rowFields>
  <rowItems count="5">
    <i>
      <x v="3"/>
    </i>
    <i>
      <x v="4"/>
    </i>
    <i>
      <x v="1"/>
    </i>
    <i>
      <x/>
    </i>
    <i>
      <x v="2"/>
    </i>
  </rowItems>
  <colItems count="1">
    <i/>
  </colItems>
  <dataFields count="1">
    <dataField name="Sum of Sales Amount" fld="3" baseField="0" baseItem="0" numFmtId="164"/>
  </dataFields>
  <formats count="1">
    <format dxfId="3">
      <pivotArea outline="0" collapsedLevelsAreSubtotals="1" fieldPosition="0"/>
    </format>
  </formats>
  <chartFormats count="2">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3200E7-989C-4AA9-8BB8-B6BB6203CED1}" name="Region Sales"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4" rowHeaderCaption="Region">
  <location ref="A7:B11" firstHeaderRow="1" firstDataRow="1" firstDataCol="1" rowPageCount="1" colPageCount="1"/>
  <pivotFields count="11">
    <pivotField showAll="0">
      <items count="14">
        <item x="0"/>
        <item x="9"/>
        <item x="4"/>
        <item x="6"/>
        <item x="5"/>
        <item x="11"/>
        <item x="1"/>
        <item x="8"/>
        <item x="10"/>
        <item x="2"/>
        <item x="3"/>
        <item x="7"/>
        <item x="12"/>
        <item t="default"/>
      </items>
    </pivotField>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dataField="1" numFmtId="164" showAll="0"/>
    <pivotField numFmtId="1" showAll="0"/>
    <pivotField axis="axisPage" showAll="0">
      <items count="5">
        <item x="3"/>
        <item x="1"/>
        <item x="2"/>
        <item x="0"/>
        <item t="default"/>
      </items>
    </pivotField>
    <pivotField numFmtId="164" showAll="0"/>
    <pivotField showAll="0"/>
    <pivotField numFmtId="9" showAll="0"/>
    <pivotField showAll="0"/>
    <pivotField showAll="0"/>
  </pivotFields>
  <rowFields count="1">
    <field x="2"/>
  </rowFields>
  <rowItems count="4">
    <i>
      <x v="2"/>
    </i>
    <i>
      <x v="3"/>
    </i>
    <i>
      <x/>
    </i>
    <i>
      <x v="1"/>
    </i>
  </rowItems>
  <colItems count="1">
    <i/>
  </colItems>
  <pageFields count="1">
    <pageField fld="5" hier="-1"/>
  </pageFields>
  <dataFields count="1">
    <dataField name="Total Sales Amount " fld="3" baseField="2" baseItem="0" numFmtId="166"/>
  </dataFields>
  <formats count="1">
    <format dxfId="4">
      <pivotArea outline="0" collapsedLevelsAreSubtotals="1" fieldPosition="0"/>
    </format>
  </formats>
  <chartFormats count="9">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1"/>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33" format="11" series="1">
      <pivotArea type="data" outline="0" fieldPosition="0">
        <references count="1">
          <reference field="4294967294" count="1" selected="0">
            <x v="0"/>
          </reference>
        </references>
      </pivotArea>
    </chartFormat>
    <chartFormat chart="33" format="12">
      <pivotArea type="data" outline="0" fieldPosition="0">
        <references count="2">
          <reference field="4294967294" count="1" selected="0">
            <x v="0"/>
          </reference>
          <reference field="2" count="1" selected="0">
            <x v="2"/>
          </reference>
        </references>
      </pivotArea>
    </chartFormat>
    <chartFormat chart="33" format="13">
      <pivotArea type="data" outline="0" fieldPosition="0">
        <references count="2">
          <reference field="4294967294" count="1" selected="0">
            <x v="0"/>
          </reference>
          <reference field="2" count="1" selected="0">
            <x v="3"/>
          </reference>
        </references>
      </pivotArea>
    </chartFormat>
    <chartFormat chart="33"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038F1F-189C-4E79-8D8C-12C49F660FA3}" name="Product by avg. discount"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7" rowHeaderCaption="Product Category">
  <location ref="D7:F11" firstHeaderRow="0" firstDataRow="1" firstDataCol="1" rowPageCount="1" colPageCount="1"/>
  <pivotFields count="11">
    <pivotField showAll="0">
      <items count="14">
        <item x="0"/>
        <item x="9"/>
        <item x="4"/>
        <item x="6"/>
        <item x="5"/>
        <item x="11"/>
        <item x="1"/>
        <item x="8"/>
        <item x="10"/>
        <item x="2"/>
        <item x="3"/>
        <item x="7"/>
        <item x="12"/>
        <item t="default"/>
      </items>
    </pivotField>
    <pivotField showAll="0"/>
    <pivotField axis="axisPage" showAll="0">
      <items count="5">
        <item x="1"/>
        <item x="2"/>
        <item x="0"/>
        <item x="3"/>
        <item t="default"/>
      </items>
    </pivotField>
    <pivotField dataField="1" numFmtId="164" showAll="0"/>
    <pivotField numFmtId="1"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9" showAll="0"/>
    <pivotField showAll="0"/>
    <pivotField showAll="0"/>
  </pivotFields>
  <rowFields count="1">
    <field x="5"/>
  </rowFields>
  <rowItems count="4">
    <i>
      <x/>
    </i>
    <i>
      <x v="3"/>
    </i>
    <i>
      <x v="1"/>
    </i>
    <i>
      <x v="2"/>
    </i>
  </rowItems>
  <colFields count="1">
    <field x="-2"/>
  </colFields>
  <colItems count="2">
    <i>
      <x/>
    </i>
    <i i="1">
      <x v="1"/>
    </i>
  </colItems>
  <pageFields count="1">
    <pageField fld="2" hier="-1"/>
  </pageFields>
  <dataFields count="2">
    <dataField name="Sum of Sales Amount" fld="3" baseField="0" baseItem="0" numFmtId="166"/>
    <dataField name="Average Discount(%)" fld="8" subtotal="average" baseField="5" baseItem="0" numFmtId="9"/>
  </dataFields>
  <formats count="2">
    <format dxfId="6">
      <pivotArea outline="0" collapsedLevelsAreSubtotals="1" fieldPosition="0">
        <references count="1">
          <reference field="4294967294" count="1" selected="0">
            <x v="0"/>
          </reference>
        </references>
      </pivotArea>
    </format>
    <format dxfId="5">
      <pivotArea dataOnly="0" labelOnly="1" fieldPosition="0">
        <references count="1">
          <reference field="5" count="0"/>
        </references>
      </pivotArea>
    </format>
  </formats>
  <chartFormats count="21">
    <chartFormat chart="4" format="1" series="1">
      <pivotArea type="data" outline="0" fieldPosition="0">
        <references count="1">
          <reference field="4294967294"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pivotArea type="data" outline="0" fieldPosition="0">
        <references count="2">
          <reference field="4294967294" count="1" selected="0">
            <x v="1"/>
          </reference>
          <reference field="5" count="1" selected="0">
            <x v="0"/>
          </reference>
        </references>
      </pivotArea>
    </chartFormat>
    <chartFormat chart="24" format="9">
      <pivotArea type="data" outline="0" fieldPosition="0">
        <references count="2">
          <reference field="4294967294" count="1" selected="0">
            <x v="1"/>
          </reference>
          <reference field="5" count="1" selected="0">
            <x v="3"/>
          </reference>
        </references>
      </pivotArea>
    </chartFormat>
    <chartFormat chart="24" format="10">
      <pivotArea type="data" outline="0" fieldPosition="0">
        <references count="2">
          <reference field="4294967294" count="1" selected="0">
            <x v="1"/>
          </reference>
          <reference field="5" count="1" selected="0">
            <x v="1"/>
          </reference>
        </references>
      </pivotArea>
    </chartFormat>
    <chartFormat chart="24" format="11">
      <pivotArea type="data" outline="0" fieldPosition="0">
        <references count="2">
          <reference field="4294967294" count="1" selected="0">
            <x v="1"/>
          </reference>
          <reference field="5"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pivotArea type="data" outline="0" fieldPosition="0">
        <references count="2">
          <reference field="4294967294" count="1" selected="0">
            <x v="1"/>
          </reference>
          <reference field="5" count="1" selected="0">
            <x v="0"/>
          </reference>
        </references>
      </pivotArea>
    </chartFormat>
    <chartFormat chart="25" format="15">
      <pivotArea type="data" outline="0" fieldPosition="0">
        <references count="2">
          <reference field="4294967294" count="1" selected="0">
            <x v="1"/>
          </reference>
          <reference field="5" count="1" selected="0">
            <x v="3"/>
          </reference>
        </references>
      </pivotArea>
    </chartFormat>
    <chartFormat chart="25" format="16">
      <pivotArea type="data" outline="0" fieldPosition="0">
        <references count="2">
          <reference field="4294967294" count="1" selected="0">
            <x v="1"/>
          </reference>
          <reference field="5" count="1" selected="0">
            <x v="1"/>
          </reference>
        </references>
      </pivotArea>
    </chartFormat>
    <chartFormat chart="25" format="17">
      <pivotArea type="data" outline="0" fieldPosition="0">
        <references count="2">
          <reference field="4294967294" count="1" selected="0">
            <x v="1"/>
          </reference>
          <reference field="5" count="1" selected="0">
            <x v="2"/>
          </reference>
        </references>
      </pivotArea>
    </chartFormat>
    <chartFormat chart="30" format="18"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1"/>
          </reference>
        </references>
      </pivotArea>
    </chartFormat>
    <chartFormat chart="31" format="20" series="1">
      <pivotArea type="data" outline="0" fieldPosition="0">
        <references count="1">
          <reference field="4294967294" count="1" selected="0">
            <x v="0"/>
          </reference>
        </references>
      </pivotArea>
    </chartFormat>
    <chartFormat chart="31" format="21" series="1">
      <pivotArea type="data" outline="0" fieldPosition="0">
        <references count="1">
          <reference field="4294967294" count="1" selected="0">
            <x v="1"/>
          </reference>
        </references>
      </pivotArea>
    </chartFormat>
    <chartFormat chart="46" format="14" series="1">
      <pivotArea type="data" outline="0" fieldPosition="0">
        <references count="1">
          <reference field="4294967294" count="1" selected="0">
            <x v="0"/>
          </reference>
        </references>
      </pivotArea>
    </chartFormat>
    <chartFormat chart="46" format="15">
      <pivotArea type="data" outline="0" fieldPosition="0">
        <references count="2">
          <reference field="4294967294" count="1" selected="0">
            <x v="0"/>
          </reference>
          <reference field="5" count="1" selected="0">
            <x v="0"/>
          </reference>
        </references>
      </pivotArea>
    </chartFormat>
    <chartFormat chart="46" format="16" series="1">
      <pivotArea type="data" outline="0" fieldPosition="0">
        <references count="1">
          <reference field="4294967294" count="1" selected="0">
            <x v="1"/>
          </reference>
        </references>
      </pivotArea>
    </chartFormat>
    <chartFormat chart="46" format="1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D33918-1297-4617-999B-B60AA7C87936}" name="Montly sales trend"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rowHeaderCaption="Month_Year ">
  <location ref="J4:K17" firstHeaderRow="1" firstDataRow="1" firstDataCol="1"/>
  <pivotFields count="11">
    <pivotField axis="axisRow" showAll="0">
      <items count="14">
        <item x="0"/>
        <item x="9"/>
        <item x="4"/>
        <item x="6"/>
        <item x="5"/>
        <item x="11"/>
        <item x="1"/>
        <item x="8"/>
        <item x="10"/>
        <item x="2"/>
        <item x="3"/>
        <item x="7"/>
        <item x="12"/>
        <item t="default"/>
      </items>
    </pivotField>
    <pivotField showAll="0"/>
    <pivotField showAll="0"/>
    <pivotField dataField="1" numFmtId="164" showAll="0"/>
    <pivotField numFmtId="1" showAll="0"/>
    <pivotField showAll="0">
      <items count="5">
        <item x="3"/>
        <item x="1"/>
        <item x="2"/>
        <item x="0"/>
        <item t="default"/>
      </items>
    </pivotField>
    <pivotField numFmtId="164" showAll="0"/>
    <pivotField showAll="0"/>
    <pivotField numFmtId="9" showAll="0"/>
    <pivotField showAll="0"/>
    <pivotField showAll="0"/>
  </pivotFields>
  <rowFields count="1">
    <field x="0"/>
  </rowFields>
  <rowItems count="13">
    <i>
      <x/>
    </i>
    <i>
      <x v="1"/>
    </i>
    <i>
      <x v="2"/>
    </i>
    <i>
      <x v="3"/>
    </i>
    <i>
      <x v="4"/>
    </i>
    <i>
      <x v="5"/>
    </i>
    <i>
      <x v="6"/>
    </i>
    <i>
      <x v="7"/>
    </i>
    <i>
      <x v="8"/>
    </i>
    <i>
      <x v="9"/>
    </i>
    <i>
      <x v="10"/>
    </i>
    <i>
      <x v="11"/>
    </i>
    <i>
      <x v="12"/>
    </i>
  </rowItems>
  <colItems count="1">
    <i/>
  </colItems>
  <dataFields count="1">
    <dataField name="Sum of Sales Amount" fld="3" baseField="0" baseItem="0" numFmtId="164"/>
  </dataFields>
  <formats count="1">
    <format dxfId="7">
      <pivotArea outline="0" collapsedLevelsAreSubtotals="1" fieldPosition="0"/>
    </format>
  </formats>
  <chartFormats count="14">
    <chartFormat chart="9" format="56" series="1">
      <pivotArea type="data" outline="0" fieldPosition="0">
        <references count="1">
          <reference field="4294967294" count="1" selected="0">
            <x v="0"/>
          </reference>
        </references>
      </pivotArea>
    </chartFormat>
    <chartFormat chart="9" format="57">
      <pivotArea type="data" outline="0" fieldPosition="0">
        <references count="2">
          <reference field="4294967294" count="1" selected="0">
            <x v="0"/>
          </reference>
          <reference field="0" count="1" selected="0">
            <x v="0"/>
          </reference>
        </references>
      </pivotArea>
    </chartFormat>
    <chartFormat chart="9" format="58">
      <pivotArea type="data" outline="0" fieldPosition="0">
        <references count="2">
          <reference field="4294967294" count="1" selected="0">
            <x v="0"/>
          </reference>
          <reference field="0" count="1" selected="0">
            <x v="1"/>
          </reference>
        </references>
      </pivotArea>
    </chartFormat>
    <chartFormat chart="9" format="59">
      <pivotArea type="data" outline="0" fieldPosition="0">
        <references count="2">
          <reference field="4294967294" count="1" selected="0">
            <x v="0"/>
          </reference>
          <reference field="0" count="1" selected="0">
            <x v="2"/>
          </reference>
        </references>
      </pivotArea>
    </chartFormat>
    <chartFormat chart="9" format="60">
      <pivotArea type="data" outline="0" fieldPosition="0">
        <references count="2">
          <reference field="4294967294" count="1" selected="0">
            <x v="0"/>
          </reference>
          <reference field="0" count="1" selected="0">
            <x v="3"/>
          </reference>
        </references>
      </pivotArea>
    </chartFormat>
    <chartFormat chart="9" format="61">
      <pivotArea type="data" outline="0" fieldPosition="0">
        <references count="2">
          <reference field="4294967294" count="1" selected="0">
            <x v="0"/>
          </reference>
          <reference field="0" count="1" selected="0">
            <x v="4"/>
          </reference>
        </references>
      </pivotArea>
    </chartFormat>
    <chartFormat chart="9" format="62">
      <pivotArea type="data" outline="0" fieldPosition="0">
        <references count="2">
          <reference field="4294967294" count="1" selected="0">
            <x v="0"/>
          </reference>
          <reference field="0" count="1" selected="0">
            <x v="5"/>
          </reference>
        </references>
      </pivotArea>
    </chartFormat>
    <chartFormat chart="9" format="63">
      <pivotArea type="data" outline="0" fieldPosition="0">
        <references count="2">
          <reference field="4294967294" count="1" selected="0">
            <x v="0"/>
          </reference>
          <reference field="0" count="1" selected="0">
            <x v="6"/>
          </reference>
        </references>
      </pivotArea>
    </chartFormat>
    <chartFormat chart="9" format="64">
      <pivotArea type="data" outline="0" fieldPosition="0">
        <references count="2">
          <reference field="4294967294" count="1" selected="0">
            <x v="0"/>
          </reference>
          <reference field="0" count="1" selected="0">
            <x v="7"/>
          </reference>
        </references>
      </pivotArea>
    </chartFormat>
    <chartFormat chart="9" format="65">
      <pivotArea type="data" outline="0" fieldPosition="0">
        <references count="2">
          <reference field="4294967294" count="1" selected="0">
            <x v="0"/>
          </reference>
          <reference field="0" count="1" selected="0">
            <x v="8"/>
          </reference>
        </references>
      </pivotArea>
    </chartFormat>
    <chartFormat chart="9" format="66">
      <pivotArea type="data" outline="0" fieldPosition="0">
        <references count="2">
          <reference field="4294967294" count="1" selected="0">
            <x v="0"/>
          </reference>
          <reference field="0" count="1" selected="0">
            <x v="9"/>
          </reference>
        </references>
      </pivotArea>
    </chartFormat>
    <chartFormat chart="9" format="67">
      <pivotArea type="data" outline="0" fieldPosition="0">
        <references count="2">
          <reference field="4294967294" count="1" selected="0">
            <x v="0"/>
          </reference>
          <reference field="0" count="1" selected="0">
            <x v="10"/>
          </reference>
        </references>
      </pivotArea>
    </chartFormat>
    <chartFormat chart="9" format="68">
      <pivotArea type="data" outline="0" fieldPosition="0">
        <references count="2">
          <reference field="4294967294" count="1" selected="0">
            <x v="0"/>
          </reference>
          <reference field="0" count="1" selected="0">
            <x v="11"/>
          </reference>
        </references>
      </pivotArea>
    </chartFormat>
    <chartFormat chart="9" format="69">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233E61-BCED-42D4-8672-7A445C26597C}" name="payment method frequency"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3" rowHeaderCaption="Payment Method ">
  <location ref="D17:E20" firstHeaderRow="1" firstDataRow="1" firstDataCol="1" rowPageCount="1" colPageCount="1"/>
  <pivotFields count="11">
    <pivotField showAll="0">
      <items count="14">
        <item x="0"/>
        <item x="9"/>
        <item x="4"/>
        <item x="6"/>
        <item x="5"/>
        <item x="11"/>
        <item x="1"/>
        <item x="8"/>
        <item x="10"/>
        <item x="2"/>
        <item x="3"/>
        <item x="7"/>
        <item x="12"/>
        <item t="default"/>
      </items>
    </pivotField>
    <pivotField showAll="0"/>
    <pivotField axis="axisPage" showAll="0">
      <items count="5">
        <item x="1"/>
        <item x="2"/>
        <item x="0"/>
        <item x="3"/>
        <item t="default"/>
      </items>
    </pivotField>
    <pivotField numFmtId="164" showAll="0"/>
    <pivotField numFmtId="1" showAll="0"/>
    <pivotField showAll="0"/>
    <pivotField numFmtId="164" showAll="0"/>
    <pivotField showAll="0"/>
    <pivotField numFmtId="9"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3">
    <i>
      <x v="2"/>
    </i>
    <i>
      <x/>
    </i>
    <i>
      <x v="1"/>
    </i>
  </rowItems>
  <colItems count="1">
    <i/>
  </colItems>
  <pageFields count="1">
    <pageField fld="2" hier="-1"/>
  </pageFields>
  <dataFields count="1">
    <dataField name="Count of Payment Method" fld="9" subtotal="count" baseField="0" baseItem="0"/>
  </dataFields>
  <chartFormats count="4">
    <chartFormat chart="22" format="21" series="1">
      <pivotArea type="data" outline="0" fieldPosition="0">
        <references count="1">
          <reference field="4294967294" count="1" selected="0">
            <x v="0"/>
          </reference>
        </references>
      </pivotArea>
    </chartFormat>
    <chartFormat chart="22" format="22">
      <pivotArea type="data" outline="0" fieldPosition="0">
        <references count="2">
          <reference field="4294967294" count="1" selected="0">
            <x v="0"/>
          </reference>
          <reference field="9" count="1" selected="0">
            <x v="2"/>
          </reference>
        </references>
      </pivotArea>
    </chartFormat>
    <chartFormat chart="22" format="23">
      <pivotArea type="data" outline="0" fieldPosition="0">
        <references count="2">
          <reference field="4294967294" count="1" selected="0">
            <x v="0"/>
          </reference>
          <reference field="9" count="1" selected="0">
            <x v="0"/>
          </reference>
        </references>
      </pivotArea>
    </chartFormat>
    <chartFormat chart="22" format="2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890EE5-8C33-4351-9B08-0F8E7774FAA0}" sourceName="Month">
  <pivotTables>
    <pivotTable tabId="12" name="Customer Type by Qty. sold"/>
    <pivotTable tabId="12" name="KPI Cards"/>
    <pivotTable tabId="12" name="payment method frequency"/>
    <pivotTable tabId="12" name="Product by avg. discount"/>
    <pivotTable tabId="12" name="Region Sales"/>
    <pivotTable tabId="12" name="Sales Channel by Revenue"/>
    <pivotTable tabId="12" name="Sales Rep by Revenue"/>
  </pivotTables>
  <data>
    <tabular pivotCacheId="1291132264">
      <items count="13">
        <i x="0" s="1"/>
        <i x="9" s="1"/>
        <i x="4" s="1"/>
        <i x="6" s="1"/>
        <i x="5" s="1"/>
        <i x="11" s="1"/>
        <i x="1" s="1"/>
        <i x="8" s="1"/>
        <i x="10" s="1"/>
        <i x="2" s="1"/>
        <i x="3" s="1"/>
        <i x="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17423C9-91E6-4941-9740-F3AC6725AB46}" cache="Slicer_Month" caption="Month"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87CA-C126-4763-B536-DE49F4323C35}">
  <sheetPr codeName="Sheet1">
    <tabColor rgb="FFFF0000"/>
  </sheetPr>
  <dimension ref="A1:N1001"/>
  <sheetViews>
    <sheetView tabSelected="1" workbookViewId="0">
      <selection activeCell="O6" sqref="O6"/>
    </sheetView>
  </sheetViews>
  <sheetFormatPr defaultRowHeight="15" x14ac:dyDescent="0.25"/>
  <cols>
    <col min="2" max="2" width="10.7109375" bestFit="1" customWidth="1"/>
    <col min="7" max="7" width="16.85546875" bestFit="1" customWidth="1"/>
    <col min="8" max="8" width="9.5703125" bestFit="1" customWidth="1"/>
    <col min="9" max="9" width="10.140625" bestFit="1" customWidth="1"/>
    <col min="14" max="14" width="21.85546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1052</v>
      </c>
      <c r="B2" s="1">
        <v>44960</v>
      </c>
      <c r="C2" t="s">
        <v>14</v>
      </c>
      <c r="D2" t="s">
        <v>15</v>
      </c>
      <c r="E2">
        <v>5053.97</v>
      </c>
      <c r="F2">
        <v>18</v>
      </c>
      <c r="G2" t="s">
        <v>16</v>
      </c>
      <c r="H2">
        <v>152.75</v>
      </c>
      <c r="I2">
        <v>267.22000000000003</v>
      </c>
      <c r="J2" t="s">
        <v>17</v>
      </c>
      <c r="K2">
        <v>0.09</v>
      </c>
      <c r="L2" t="s">
        <v>18</v>
      </c>
      <c r="M2" t="s">
        <v>19</v>
      </c>
      <c r="N2" t="s">
        <v>20</v>
      </c>
    </row>
    <row r="3" spans="1:14" x14ac:dyDescent="0.2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25">
      <c r="A4">
        <v>1015</v>
      </c>
      <c r="B4" s="1">
        <v>45190</v>
      </c>
      <c r="C4" t="s">
        <v>24</v>
      </c>
      <c r="D4" t="s">
        <v>25</v>
      </c>
      <c r="E4">
        <v>4631.2299999999996</v>
      </c>
      <c r="F4">
        <v>30</v>
      </c>
      <c r="G4" t="s">
        <v>26</v>
      </c>
      <c r="H4">
        <v>261.56</v>
      </c>
      <c r="I4">
        <v>371.4</v>
      </c>
      <c r="J4" t="s">
        <v>17</v>
      </c>
      <c r="K4">
        <v>0.2</v>
      </c>
      <c r="L4" t="s">
        <v>27</v>
      </c>
      <c r="M4" t="s">
        <v>22</v>
      </c>
      <c r="N4" t="s">
        <v>28</v>
      </c>
    </row>
    <row r="5" spans="1:14" x14ac:dyDescent="0.25">
      <c r="A5">
        <v>1072</v>
      </c>
      <c r="B5" s="1">
        <v>45162</v>
      </c>
      <c r="C5" t="s">
        <v>14</v>
      </c>
      <c r="D5" t="s">
        <v>25</v>
      </c>
      <c r="E5">
        <v>2167.94</v>
      </c>
      <c r="F5">
        <v>39</v>
      </c>
      <c r="G5" t="s">
        <v>29</v>
      </c>
      <c r="H5">
        <v>4330.03</v>
      </c>
      <c r="I5">
        <v>4467.75</v>
      </c>
      <c r="J5" t="s">
        <v>30</v>
      </c>
      <c r="K5">
        <v>0.02</v>
      </c>
      <c r="L5" t="s">
        <v>31</v>
      </c>
      <c r="M5" t="s">
        <v>22</v>
      </c>
      <c r="N5" t="s">
        <v>32</v>
      </c>
    </row>
    <row r="6" spans="1:14" x14ac:dyDescent="0.25">
      <c r="A6">
        <v>1061</v>
      </c>
      <c r="B6" s="1">
        <v>45009</v>
      </c>
      <c r="C6" t="s">
        <v>33</v>
      </c>
      <c r="D6" t="s">
        <v>34</v>
      </c>
      <c r="E6">
        <v>3750.2</v>
      </c>
      <c r="F6">
        <v>13</v>
      </c>
      <c r="G6" t="s">
        <v>35</v>
      </c>
      <c r="H6">
        <v>637.37</v>
      </c>
      <c r="I6">
        <v>692.71</v>
      </c>
      <c r="J6" t="s">
        <v>30</v>
      </c>
      <c r="K6">
        <v>0.08</v>
      </c>
      <c r="L6" t="s">
        <v>31</v>
      </c>
      <c r="M6" t="s">
        <v>19</v>
      </c>
      <c r="N6" t="s">
        <v>36</v>
      </c>
    </row>
    <row r="7" spans="1:14" x14ac:dyDescent="0.25">
      <c r="A7">
        <v>1021</v>
      </c>
      <c r="B7" s="1">
        <v>44968</v>
      </c>
      <c r="C7" t="s">
        <v>33</v>
      </c>
      <c r="D7" t="s">
        <v>21</v>
      </c>
      <c r="E7">
        <v>3761.15</v>
      </c>
      <c r="F7">
        <v>32</v>
      </c>
      <c r="G7" t="s">
        <v>26</v>
      </c>
      <c r="H7">
        <v>900.79</v>
      </c>
      <c r="I7">
        <v>1106.51</v>
      </c>
      <c r="J7" t="s">
        <v>30</v>
      </c>
      <c r="K7">
        <v>0.21</v>
      </c>
      <c r="L7" t="s">
        <v>18</v>
      </c>
      <c r="M7" t="s">
        <v>19</v>
      </c>
      <c r="N7" t="s">
        <v>37</v>
      </c>
    </row>
    <row r="8" spans="1:14" x14ac:dyDescent="0.2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25">
      <c r="A9">
        <v>1087</v>
      </c>
      <c r="B9" s="1">
        <v>44932</v>
      </c>
      <c r="C9" t="s">
        <v>38</v>
      </c>
      <c r="D9" t="s">
        <v>25</v>
      </c>
      <c r="E9">
        <v>7698.92</v>
      </c>
      <c r="F9">
        <v>46</v>
      </c>
      <c r="G9" t="s">
        <v>16</v>
      </c>
      <c r="H9">
        <v>3702.51</v>
      </c>
      <c r="I9">
        <v>3964.65</v>
      </c>
      <c r="J9" t="s">
        <v>30</v>
      </c>
      <c r="K9">
        <v>0.12</v>
      </c>
      <c r="L9" t="s">
        <v>27</v>
      </c>
      <c r="M9" t="s">
        <v>19</v>
      </c>
      <c r="N9" t="s">
        <v>39</v>
      </c>
    </row>
    <row r="10" spans="1:14" x14ac:dyDescent="0.2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25">
      <c r="A11">
        <v>1075</v>
      </c>
      <c r="B11" s="1">
        <v>45208</v>
      </c>
      <c r="C11" t="s">
        <v>33</v>
      </c>
      <c r="D11" t="s">
        <v>21</v>
      </c>
      <c r="E11">
        <v>8239.58</v>
      </c>
      <c r="F11">
        <v>18</v>
      </c>
      <c r="G11" t="s">
        <v>29</v>
      </c>
      <c r="H11">
        <v>2228.35</v>
      </c>
      <c r="I11">
        <v>2682.34</v>
      </c>
      <c r="J11" t="s">
        <v>30</v>
      </c>
      <c r="K11">
        <v>0.13</v>
      </c>
      <c r="L11" t="s">
        <v>27</v>
      </c>
      <c r="M11" t="s">
        <v>19</v>
      </c>
      <c r="N11" t="s">
        <v>37</v>
      </c>
    </row>
    <row r="12" spans="1:14" x14ac:dyDescent="0.2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2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25">
      <c r="A14">
        <v>1024</v>
      </c>
      <c r="B14" s="1">
        <v>45241</v>
      </c>
      <c r="C14" t="s">
        <v>38</v>
      </c>
      <c r="D14" t="s">
        <v>21</v>
      </c>
      <c r="E14">
        <v>6607.8</v>
      </c>
      <c r="F14">
        <v>21</v>
      </c>
      <c r="G14" t="s">
        <v>26</v>
      </c>
      <c r="H14">
        <v>622.01</v>
      </c>
      <c r="I14">
        <v>641.09</v>
      </c>
      <c r="J14" t="s">
        <v>17</v>
      </c>
      <c r="K14">
        <v>0</v>
      </c>
      <c r="L14" t="s">
        <v>27</v>
      </c>
      <c r="M14" t="s">
        <v>22</v>
      </c>
      <c r="N14" t="s">
        <v>41</v>
      </c>
    </row>
    <row r="15" spans="1:14" x14ac:dyDescent="0.2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2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25">
      <c r="A17">
        <v>1053</v>
      </c>
      <c r="B17" s="1">
        <v>45215</v>
      </c>
      <c r="C17" t="s">
        <v>14</v>
      </c>
      <c r="D17" t="s">
        <v>15</v>
      </c>
      <c r="E17">
        <v>2235.83</v>
      </c>
      <c r="F17">
        <v>48</v>
      </c>
      <c r="G17" t="s">
        <v>16</v>
      </c>
      <c r="H17">
        <v>121.19</v>
      </c>
      <c r="I17">
        <v>487.65</v>
      </c>
      <c r="J17" t="s">
        <v>30</v>
      </c>
      <c r="K17">
        <v>0.18</v>
      </c>
      <c r="L17" t="s">
        <v>18</v>
      </c>
      <c r="M17" t="s">
        <v>22</v>
      </c>
      <c r="N17" t="s">
        <v>20</v>
      </c>
    </row>
    <row r="18" spans="1:14" x14ac:dyDescent="0.2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2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25">
      <c r="A20">
        <v>1030</v>
      </c>
      <c r="B20" s="1">
        <v>45124</v>
      </c>
      <c r="C20" t="s">
        <v>24</v>
      </c>
      <c r="D20" t="s">
        <v>21</v>
      </c>
      <c r="E20">
        <v>3023.48</v>
      </c>
      <c r="F20">
        <v>19</v>
      </c>
      <c r="G20" t="s">
        <v>29</v>
      </c>
      <c r="H20">
        <v>3049.33</v>
      </c>
      <c r="I20">
        <v>3209.22</v>
      </c>
      <c r="J20" t="s">
        <v>17</v>
      </c>
      <c r="K20">
        <v>0.26</v>
      </c>
      <c r="L20" t="s">
        <v>18</v>
      </c>
      <c r="M20" t="s">
        <v>19</v>
      </c>
      <c r="N20" t="s">
        <v>47</v>
      </c>
    </row>
    <row r="21" spans="1:14" x14ac:dyDescent="0.2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25">
      <c r="A22">
        <v>1002</v>
      </c>
      <c r="B22" s="1">
        <v>45038</v>
      </c>
      <c r="C22" t="s">
        <v>38</v>
      </c>
      <c r="D22" t="s">
        <v>15</v>
      </c>
      <c r="E22">
        <v>6551.23</v>
      </c>
      <c r="F22">
        <v>9</v>
      </c>
      <c r="G22" t="s">
        <v>35</v>
      </c>
      <c r="H22">
        <v>4398.16</v>
      </c>
      <c r="I22">
        <v>4439.12</v>
      </c>
      <c r="J22" t="s">
        <v>30</v>
      </c>
      <c r="K22">
        <v>0.18</v>
      </c>
      <c r="L22" t="s">
        <v>27</v>
      </c>
      <c r="M22" t="s">
        <v>19</v>
      </c>
      <c r="N22" t="s">
        <v>40</v>
      </c>
    </row>
    <row r="23" spans="1:14" x14ac:dyDescent="0.25">
      <c r="A23">
        <v>1064</v>
      </c>
      <c r="B23" s="1">
        <v>44930</v>
      </c>
      <c r="C23" t="s">
        <v>38</v>
      </c>
      <c r="D23" t="s">
        <v>34</v>
      </c>
      <c r="E23">
        <v>7412.11</v>
      </c>
      <c r="F23">
        <v>10</v>
      </c>
      <c r="G23" t="s">
        <v>35</v>
      </c>
      <c r="H23">
        <v>4764.96</v>
      </c>
      <c r="I23">
        <v>5074.42</v>
      </c>
      <c r="J23" t="s">
        <v>30</v>
      </c>
      <c r="K23">
        <v>0.12</v>
      </c>
      <c r="L23" t="s">
        <v>18</v>
      </c>
      <c r="M23" t="s">
        <v>19</v>
      </c>
      <c r="N23" t="s">
        <v>48</v>
      </c>
    </row>
    <row r="24" spans="1:14" x14ac:dyDescent="0.25">
      <c r="A24">
        <v>1060</v>
      </c>
      <c r="B24" s="1">
        <v>45276</v>
      </c>
      <c r="C24" t="s">
        <v>38</v>
      </c>
      <c r="D24" t="s">
        <v>34</v>
      </c>
      <c r="E24">
        <v>3224.71</v>
      </c>
      <c r="F24">
        <v>44</v>
      </c>
      <c r="G24" t="s">
        <v>29</v>
      </c>
      <c r="H24">
        <v>3784.96</v>
      </c>
      <c r="I24">
        <v>4276.99</v>
      </c>
      <c r="J24" t="s">
        <v>30</v>
      </c>
      <c r="K24">
        <v>0.06</v>
      </c>
      <c r="L24" t="s">
        <v>27</v>
      </c>
      <c r="M24" t="s">
        <v>22</v>
      </c>
      <c r="N24" t="s">
        <v>48</v>
      </c>
    </row>
    <row r="25" spans="1:14" x14ac:dyDescent="0.2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25">
      <c r="A26">
        <v>1033</v>
      </c>
      <c r="B26" s="1">
        <v>45244</v>
      </c>
      <c r="C26" t="s">
        <v>24</v>
      </c>
      <c r="D26" t="s">
        <v>25</v>
      </c>
      <c r="E26">
        <v>4011.8</v>
      </c>
      <c r="F26">
        <v>23</v>
      </c>
      <c r="G26" t="s">
        <v>16</v>
      </c>
      <c r="H26">
        <v>2981.5</v>
      </c>
      <c r="I26">
        <v>3360.4</v>
      </c>
      <c r="J26" t="s">
        <v>17</v>
      </c>
      <c r="K26">
        <v>0.22</v>
      </c>
      <c r="L26" t="s">
        <v>27</v>
      </c>
      <c r="M26" t="s">
        <v>22</v>
      </c>
      <c r="N26" t="s">
        <v>28</v>
      </c>
    </row>
    <row r="27" spans="1:14" x14ac:dyDescent="0.25">
      <c r="A27">
        <v>1076</v>
      </c>
      <c r="B27" s="1">
        <v>45276</v>
      </c>
      <c r="C27" t="s">
        <v>38</v>
      </c>
      <c r="D27" t="s">
        <v>34</v>
      </c>
      <c r="E27">
        <v>7160.75</v>
      </c>
      <c r="F27">
        <v>30</v>
      </c>
      <c r="G27" t="s">
        <v>29</v>
      </c>
      <c r="H27">
        <v>3519.63</v>
      </c>
      <c r="I27">
        <v>3774.65</v>
      </c>
      <c r="J27" t="s">
        <v>30</v>
      </c>
      <c r="K27">
        <v>0.2</v>
      </c>
      <c r="L27" t="s">
        <v>31</v>
      </c>
      <c r="M27" t="s">
        <v>22</v>
      </c>
      <c r="N27" t="s">
        <v>48</v>
      </c>
    </row>
    <row r="28" spans="1:14" x14ac:dyDescent="0.2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2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2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25">
      <c r="A31">
        <v>1049</v>
      </c>
      <c r="B31" s="1">
        <v>45063</v>
      </c>
      <c r="C31" t="s">
        <v>42</v>
      </c>
      <c r="D31" t="s">
        <v>21</v>
      </c>
      <c r="E31">
        <v>3741.08</v>
      </c>
      <c r="F31">
        <v>1</v>
      </c>
      <c r="G31" t="s">
        <v>16</v>
      </c>
      <c r="H31">
        <v>3290.89</v>
      </c>
      <c r="I31">
        <v>3317.75</v>
      </c>
      <c r="J31" t="s">
        <v>17</v>
      </c>
      <c r="K31">
        <v>0.17</v>
      </c>
      <c r="L31" t="s">
        <v>27</v>
      </c>
      <c r="M31" t="s">
        <v>19</v>
      </c>
      <c r="N31" t="s">
        <v>51</v>
      </c>
    </row>
    <row r="32" spans="1:14" x14ac:dyDescent="0.25">
      <c r="A32">
        <v>1091</v>
      </c>
      <c r="B32" s="1">
        <v>45173</v>
      </c>
      <c r="C32" t="s">
        <v>33</v>
      </c>
      <c r="D32" t="s">
        <v>25</v>
      </c>
      <c r="E32">
        <v>675.11</v>
      </c>
      <c r="F32">
        <v>44</v>
      </c>
      <c r="G32" t="s">
        <v>26</v>
      </c>
      <c r="H32">
        <v>2085.46</v>
      </c>
      <c r="I32">
        <v>2406.58</v>
      </c>
      <c r="J32" t="s">
        <v>17</v>
      </c>
      <c r="K32">
        <v>0.06</v>
      </c>
      <c r="L32" t="s">
        <v>27</v>
      </c>
      <c r="M32" t="s">
        <v>22</v>
      </c>
      <c r="N32" t="s">
        <v>44</v>
      </c>
    </row>
    <row r="33" spans="1:14" x14ac:dyDescent="0.25">
      <c r="A33">
        <v>1059</v>
      </c>
      <c r="B33" s="1">
        <v>45169</v>
      </c>
      <c r="C33" t="s">
        <v>42</v>
      </c>
      <c r="D33" t="s">
        <v>15</v>
      </c>
      <c r="E33">
        <v>1203.97</v>
      </c>
      <c r="F33">
        <v>35</v>
      </c>
      <c r="G33" t="s">
        <v>26</v>
      </c>
      <c r="H33">
        <v>3333.64</v>
      </c>
      <c r="I33">
        <v>3764.52</v>
      </c>
      <c r="J33" t="s">
        <v>17</v>
      </c>
      <c r="K33">
        <v>0.02</v>
      </c>
      <c r="L33" t="s">
        <v>31</v>
      </c>
      <c r="M33" t="s">
        <v>19</v>
      </c>
      <c r="N33" t="s">
        <v>49</v>
      </c>
    </row>
    <row r="34" spans="1:14" x14ac:dyDescent="0.2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25">
      <c r="A35">
        <v>1092</v>
      </c>
      <c r="B35" s="1">
        <v>44966</v>
      </c>
      <c r="C35" t="s">
        <v>24</v>
      </c>
      <c r="D35" t="s">
        <v>21</v>
      </c>
      <c r="E35">
        <v>2749.17</v>
      </c>
      <c r="F35">
        <v>34</v>
      </c>
      <c r="G35" t="s">
        <v>16</v>
      </c>
      <c r="H35">
        <v>2037.41</v>
      </c>
      <c r="I35">
        <v>2238.65</v>
      </c>
      <c r="J35" t="s">
        <v>30</v>
      </c>
      <c r="K35">
        <v>0.3</v>
      </c>
      <c r="L35" t="s">
        <v>31</v>
      </c>
      <c r="M35" t="s">
        <v>19</v>
      </c>
      <c r="N35" t="s">
        <v>47</v>
      </c>
    </row>
    <row r="36" spans="1:14" x14ac:dyDescent="0.25">
      <c r="A36">
        <v>1060</v>
      </c>
      <c r="B36" s="1">
        <v>45155</v>
      </c>
      <c r="C36" t="s">
        <v>14</v>
      </c>
      <c r="D36" t="s">
        <v>34</v>
      </c>
      <c r="E36">
        <v>8371.25</v>
      </c>
      <c r="F36">
        <v>16</v>
      </c>
      <c r="G36" t="s">
        <v>29</v>
      </c>
      <c r="H36">
        <v>3975.99</v>
      </c>
      <c r="I36">
        <v>4422.59</v>
      </c>
      <c r="J36" t="s">
        <v>30</v>
      </c>
      <c r="K36">
        <v>0.24</v>
      </c>
      <c r="L36" t="s">
        <v>18</v>
      </c>
      <c r="M36" t="s">
        <v>19</v>
      </c>
      <c r="N36" t="s">
        <v>46</v>
      </c>
    </row>
    <row r="37" spans="1:14" x14ac:dyDescent="0.2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25">
      <c r="A38">
        <v>1015</v>
      </c>
      <c r="B38" s="1">
        <v>45149</v>
      </c>
      <c r="C38" t="s">
        <v>38</v>
      </c>
      <c r="D38" t="s">
        <v>34</v>
      </c>
      <c r="E38">
        <v>3853.03</v>
      </c>
      <c r="F38">
        <v>32</v>
      </c>
      <c r="G38" t="s">
        <v>16</v>
      </c>
      <c r="H38">
        <v>970.51</v>
      </c>
      <c r="I38">
        <v>1330.84</v>
      </c>
      <c r="J38" t="s">
        <v>17</v>
      </c>
      <c r="K38">
        <v>0.06</v>
      </c>
      <c r="L38" t="s">
        <v>18</v>
      </c>
      <c r="M38" t="s">
        <v>22</v>
      </c>
      <c r="N38" t="s">
        <v>48</v>
      </c>
    </row>
    <row r="39" spans="1:14" x14ac:dyDescent="0.2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2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25">
      <c r="A41">
        <v>1047</v>
      </c>
      <c r="B41" s="1">
        <v>45146</v>
      </c>
      <c r="C41" t="s">
        <v>24</v>
      </c>
      <c r="D41" t="s">
        <v>15</v>
      </c>
      <c r="E41">
        <v>1331.25</v>
      </c>
      <c r="F41">
        <v>33</v>
      </c>
      <c r="G41" t="s">
        <v>35</v>
      </c>
      <c r="H41">
        <v>1341.55</v>
      </c>
      <c r="I41">
        <v>1427.21</v>
      </c>
      <c r="J41" t="s">
        <v>17</v>
      </c>
      <c r="K41">
        <v>0.15</v>
      </c>
      <c r="L41" t="s">
        <v>31</v>
      </c>
      <c r="M41" t="s">
        <v>19</v>
      </c>
      <c r="N41" t="s">
        <v>45</v>
      </c>
    </row>
    <row r="42" spans="1:14" x14ac:dyDescent="0.2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2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25">
      <c r="A44">
        <v>1055</v>
      </c>
      <c r="B44" s="1">
        <v>45261</v>
      </c>
      <c r="C44" t="s">
        <v>33</v>
      </c>
      <c r="D44" t="s">
        <v>21</v>
      </c>
      <c r="E44">
        <v>4102.47</v>
      </c>
      <c r="F44">
        <v>8</v>
      </c>
      <c r="G44" t="s">
        <v>16</v>
      </c>
      <c r="H44">
        <v>3513</v>
      </c>
      <c r="I44">
        <v>3838.42</v>
      </c>
      <c r="J44" t="s">
        <v>17</v>
      </c>
      <c r="K44">
        <v>0.13</v>
      </c>
      <c r="L44" t="s">
        <v>27</v>
      </c>
      <c r="M44" t="s">
        <v>19</v>
      </c>
      <c r="N44" t="s">
        <v>37</v>
      </c>
    </row>
    <row r="45" spans="1:14" x14ac:dyDescent="0.25">
      <c r="A45">
        <v>1064</v>
      </c>
      <c r="B45" s="1">
        <v>45060</v>
      </c>
      <c r="C45" t="s">
        <v>14</v>
      </c>
      <c r="D45" t="s">
        <v>25</v>
      </c>
      <c r="E45">
        <v>5356.28</v>
      </c>
      <c r="F45">
        <v>8</v>
      </c>
      <c r="G45" t="s">
        <v>35</v>
      </c>
      <c r="H45">
        <v>4271.99</v>
      </c>
      <c r="I45">
        <v>4417.79</v>
      </c>
      <c r="J45" t="s">
        <v>17</v>
      </c>
      <c r="K45">
        <v>0.04</v>
      </c>
      <c r="L45" t="s">
        <v>18</v>
      </c>
      <c r="M45" t="s">
        <v>19</v>
      </c>
      <c r="N45" t="s">
        <v>32</v>
      </c>
    </row>
    <row r="46" spans="1:14" x14ac:dyDescent="0.2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25">
      <c r="A47">
        <v>1051</v>
      </c>
      <c r="B47" s="1">
        <v>45020</v>
      </c>
      <c r="C47" t="s">
        <v>14</v>
      </c>
      <c r="D47" t="s">
        <v>34</v>
      </c>
      <c r="E47">
        <v>198.25</v>
      </c>
      <c r="F47">
        <v>12</v>
      </c>
      <c r="G47" t="s">
        <v>35</v>
      </c>
      <c r="H47">
        <v>3544.48</v>
      </c>
      <c r="I47">
        <v>3723.66</v>
      </c>
      <c r="J47" t="s">
        <v>17</v>
      </c>
      <c r="K47">
        <v>0.19</v>
      </c>
      <c r="L47" t="s">
        <v>18</v>
      </c>
      <c r="M47" t="s">
        <v>19</v>
      </c>
      <c r="N47" t="s">
        <v>46</v>
      </c>
    </row>
    <row r="48" spans="1:14" x14ac:dyDescent="0.2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25">
      <c r="A49">
        <v>1021</v>
      </c>
      <c r="B49" s="1">
        <v>45120</v>
      </c>
      <c r="C49" t="s">
        <v>14</v>
      </c>
      <c r="D49" t="s">
        <v>21</v>
      </c>
      <c r="E49">
        <v>9638.64</v>
      </c>
      <c r="F49">
        <v>43</v>
      </c>
      <c r="G49" t="s">
        <v>16</v>
      </c>
      <c r="H49">
        <v>4154.3</v>
      </c>
      <c r="I49">
        <v>4469.07</v>
      </c>
      <c r="J49" t="s">
        <v>17</v>
      </c>
      <c r="K49">
        <v>0.23</v>
      </c>
      <c r="L49" t="s">
        <v>18</v>
      </c>
      <c r="M49" t="s">
        <v>22</v>
      </c>
      <c r="N49" t="s">
        <v>23</v>
      </c>
    </row>
    <row r="50" spans="1:14" x14ac:dyDescent="0.2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25">
      <c r="A51">
        <v>1039</v>
      </c>
      <c r="B51" s="1">
        <v>45129</v>
      </c>
      <c r="C51" t="s">
        <v>42</v>
      </c>
      <c r="D51" t="s">
        <v>34</v>
      </c>
      <c r="E51">
        <v>6807.67</v>
      </c>
      <c r="F51">
        <v>42</v>
      </c>
      <c r="G51" t="s">
        <v>29</v>
      </c>
      <c r="H51">
        <v>3120.19</v>
      </c>
      <c r="I51">
        <v>3600.14</v>
      </c>
      <c r="J51" t="s">
        <v>17</v>
      </c>
      <c r="K51">
        <v>0.19</v>
      </c>
      <c r="L51" t="s">
        <v>31</v>
      </c>
      <c r="M51" t="s">
        <v>22</v>
      </c>
      <c r="N51" t="s">
        <v>52</v>
      </c>
    </row>
    <row r="52" spans="1:14" x14ac:dyDescent="0.2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2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2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25">
      <c r="A55">
        <v>1060</v>
      </c>
      <c r="B55" s="1">
        <v>45059</v>
      </c>
      <c r="C55" t="s">
        <v>33</v>
      </c>
      <c r="D55" t="s">
        <v>21</v>
      </c>
      <c r="E55">
        <v>5260.83</v>
      </c>
      <c r="F55">
        <v>31</v>
      </c>
      <c r="G55" t="s">
        <v>35</v>
      </c>
      <c r="H55">
        <v>3161.4</v>
      </c>
      <c r="I55">
        <v>3339.66</v>
      </c>
      <c r="J55" t="s">
        <v>17</v>
      </c>
      <c r="K55">
        <v>0.02</v>
      </c>
      <c r="L55" t="s">
        <v>27</v>
      </c>
      <c r="M55" t="s">
        <v>19</v>
      </c>
      <c r="N55" t="s">
        <v>37</v>
      </c>
    </row>
    <row r="56" spans="1:14" x14ac:dyDescent="0.2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25">
      <c r="A57">
        <v>1009</v>
      </c>
      <c r="B57" s="1">
        <v>45044</v>
      </c>
      <c r="C57" t="s">
        <v>42</v>
      </c>
      <c r="D57" t="s">
        <v>15</v>
      </c>
      <c r="E57">
        <v>1342.95</v>
      </c>
      <c r="F57">
        <v>33</v>
      </c>
      <c r="G57" t="s">
        <v>29</v>
      </c>
      <c r="H57">
        <v>2278.9</v>
      </c>
      <c r="I57">
        <v>2626.9</v>
      </c>
      <c r="J57" t="s">
        <v>30</v>
      </c>
      <c r="K57">
        <v>0.05</v>
      </c>
      <c r="L57" t="s">
        <v>31</v>
      </c>
      <c r="M57" t="s">
        <v>19</v>
      </c>
      <c r="N57" t="s">
        <v>49</v>
      </c>
    </row>
    <row r="58" spans="1:14" x14ac:dyDescent="0.2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25">
      <c r="A59">
        <v>1053</v>
      </c>
      <c r="B59" s="1">
        <v>45201</v>
      </c>
      <c r="C59" t="s">
        <v>24</v>
      </c>
      <c r="D59" t="s">
        <v>34</v>
      </c>
      <c r="E59">
        <v>7724.57</v>
      </c>
      <c r="F59">
        <v>29</v>
      </c>
      <c r="G59" t="s">
        <v>35</v>
      </c>
      <c r="H59">
        <v>3741.3</v>
      </c>
      <c r="I59">
        <v>4061.04</v>
      </c>
      <c r="J59" t="s">
        <v>17</v>
      </c>
      <c r="K59">
        <v>0.21</v>
      </c>
      <c r="L59" t="s">
        <v>31</v>
      </c>
      <c r="M59" t="s">
        <v>19</v>
      </c>
      <c r="N59" t="s">
        <v>50</v>
      </c>
    </row>
    <row r="60" spans="1:14" x14ac:dyDescent="0.2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25">
      <c r="A61">
        <v>1084</v>
      </c>
      <c r="B61" s="1">
        <v>45151</v>
      </c>
      <c r="C61" t="s">
        <v>42</v>
      </c>
      <c r="D61" t="s">
        <v>21</v>
      </c>
      <c r="E61">
        <v>1290.05</v>
      </c>
      <c r="F61">
        <v>21</v>
      </c>
      <c r="G61" t="s">
        <v>16</v>
      </c>
      <c r="H61">
        <v>3497.98</v>
      </c>
      <c r="I61">
        <v>3765.31</v>
      </c>
      <c r="J61" t="s">
        <v>30</v>
      </c>
      <c r="K61">
        <v>0.08</v>
      </c>
      <c r="L61" t="s">
        <v>18</v>
      </c>
      <c r="M61" t="s">
        <v>19</v>
      </c>
      <c r="N61" t="s">
        <v>51</v>
      </c>
    </row>
    <row r="62" spans="1:14" x14ac:dyDescent="0.2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2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25">
      <c r="A64">
        <v>1071</v>
      </c>
      <c r="B64" s="1">
        <v>45066</v>
      </c>
      <c r="C64" t="s">
        <v>38</v>
      </c>
      <c r="D64" t="s">
        <v>21</v>
      </c>
      <c r="E64">
        <v>3003.76</v>
      </c>
      <c r="F64">
        <v>6</v>
      </c>
      <c r="G64" t="s">
        <v>16</v>
      </c>
      <c r="H64">
        <v>2831.23</v>
      </c>
      <c r="I64">
        <v>3206.98</v>
      </c>
      <c r="J64" t="s">
        <v>17</v>
      </c>
      <c r="K64">
        <v>0.06</v>
      </c>
      <c r="L64" t="s">
        <v>27</v>
      </c>
      <c r="M64" t="s">
        <v>22</v>
      </c>
      <c r="N64" t="s">
        <v>41</v>
      </c>
    </row>
    <row r="65" spans="1:14" x14ac:dyDescent="0.25">
      <c r="A65">
        <v>1044</v>
      </c>
      <c r="B65" s="1">
        <v>44973</v>
      </c>
      <c r="C65" t="s">
        <v>24</v>
      </c>
      <c r="D65" t="s">
        <v>25</v>
      </c>
      <c r="E65">
        <v>7754.1</v>
      </c>
      <c r="F65">
        <v>22</v>
      </c>
      <c r="G65" t="s">
        <v>26</v>
      </c>
      <c r="H65">
        <v>3373.46</v>
      </c>
      <c r="I65">
        <v>3454.76</v>
      </c>
      <c r="J65" t="s">
        <v>17</v>
      </c>
      <c r="K65">
        <v>0.22</v>
      </c>
      <c r="L65" t="s">
        <v>27</v>
      </c>
      <c r="M65" t="s">
        <v>22</v>
      </c>
      <c r="N65" t="s">
        <v>28</v>
      </c>
    </row>
    <row r="66" spans="1:14" x14ac:dyDescent="0.2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25">
      <c r="A67">
        <v>1047</v>
      </c>
      <c r="B67" s="1">
        <v>45016</v>
      </c>
      <c r="C67" t="s">
        <v>42</v>
      </c>
      <c r="D67" t="s">
        <v>34</v>
      </c>
      <c r="E67">
        <v>3546.15</v>
      </c>
      <c r="F67">
        <v>37</v>
      </c>
      <c r="G67" t="s">
        <v>35</v>
      </c>
      <c r="H67">
        <v>3114.88</v>
      </c>
      <c r="I67">
        <v>3256.78</v>
      </c>
      <c r="J67" t="s">
        <v>17</v>
      </c>
      <c r="K67">
        <v>0.26</v>
      </c>
      <c r="L67" t="s">
        <v>31</v>
      </c>
      <c r="M67" t="s">
        <v>19</v>
      </c>
      <c r="N67" t="s">
        <v>52</v>
      </c>
    </row>
    <row r="68" spans="1:14" x14ac:dyDescent="0.2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25">
      <c r="A69">
        <v>1078</v>
      </c>
      <c r="B69" s="1">
        <v>45246</v>
      </c>
      <c r="C69" t="s">
        <v>24</v>
      </c>
      <c r="D69" t="s">
        <v>34</v>
      </c>
      <c r="E69">
        <v>113.4</v>
      </c>
      <c r="F69">
        <v>8</v>
      </c>
      <c r="G69" t="s">
        <v>16</v>
      </c>
      <c r="H69">
        <v>3459.61</v>
      </c>
      <c r="I69">
        <v>3657.23</v>
      </c>
      <c r="J69" t="s">
        <v>17</v>
      </c>
      <c r="K69">
        <v>0.03</v>
      </c>
      <c r="L69" t="s">
        <v>27</v>
      </c>
      <c r="M69" t="s">
        <v>19</v>
      </c>
      <c r="N69" t="s">
        <v>50</v>
      </c>
    </row>
    <row r="70" spans="1:14" x14ac:dyDescent="0.25">
      <c r="A70">
        <v>1081</v>
      </c>
      <c r="B70" s="1">
        <v>44964</v>
      </c>
      <c r="C70" t="s">
        <v>24</v>
      </c>
      <c r="D70" t="s">
        <v>34</v>
      </c>
      <c r="E70">
        <v>3068.03</v>
      </c>
      <c r="F70">
        <v>41</v>
      </c>
      <c r="G70" t="s">
        <v>16</v>
      </c>
      <c r="H70">
        <v>2782.08</v>
      </c>
      <c r="I70">
        <v>2879.24</v>
      </c>
      <c r="J70" t="s">
        <v>30</v>
      </c>
      <c r="K70">
        <v>0.21</v>
      </c>
      <c r="L70" t="s">
        <v>27</v>
      </c>
      <c r="M70" t="s">
        <v>19</v>
      </c>
      <c r="N70" t="s">
        <v>50</v>
      </c>
    </row>
    <row r="71" spans="1:14" x14ac:dyDescent="0.2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25">
      <c r="A72">
        <v>1050</v>
      </c>
      <c r="B72" s="1">
        <v>45065</v>
      </c>
      <c r="C72" t="s">
        <v>33</v>
      </c>
      <c r="D72" t="s">
        <v>34</v>
      </c>
      <c r="E72">
        <v>9744.52</v>
      </c>
      <c r="F72">
        <v>35</v>
      </c>
      <c r="G72" t="s">
        <v>29</v>
      </c>
      <c r="H72">
        <v>2158.69</v>
      </c>
      <c r="I72">
        <v>2384.38</v>
      </c>
      <c r="J72" t="s">
        <v>17</v>
      </c>
      <c r="K72">
        <v>0.09</v>
      </c>
      <c r="L72" t="s">
        <v>27</v>
      </c>
      <c r="M72" t="s">
        <v>22</v>
      </c>
      <c r="N72" t="s">
        <v>36</v>
      </c>
    </row>
    <row r="73" spans="1:14" x14ac:dyDescent="0.25">
      <c r="A73">
        <v>1004</v>
      </c>
      <c r="B73" s="1">
        <v>45282</v>
      </c>
      <c r="C73" t="s">
        <v>38</v>
      </c>
      <c r="D73" t="s">
        <v>15</v>
      </c>
      <c r="E73">
        <v>8485.9</v>
      </c>
      <c r="F73">
        <v>11</v>
      </c>
      <c r="G73" t="s">
        <v>29</v>
      </c>
      <c r="H73">
        <v>4840.33</v>
      </c>
      <c r="I73">
        <v>4884.29</v>
      </c>
      <c r="J73" t="s">
        <v>30</v>
      </c>
      <c r="K73">
        <v>0.13</v>
      </c>
      <c r="L73" t="s">
        <v>18</v>
      </c>
      <c r="M73" t="s">
        <v>19</v>
      </c>
      <c r="N73" t="s">
        <v>40</v>
      </c>
    </row>
    <row r="74" spans="1:14" x14ac:dyDescent="0.25">
      <c r="A74">
        <v>1002</v>
      </c>
      <c r="B74" s="1">
        <v>45259</v>
      </c>
      <c r="C74" t="s">
        <v>24</v>
      </c>
      <c r="D74" t="s">
        <v>15</v>
      </c>
      <c r="E74">
        <v>333.59</v>
      </c>
      <c r="F74">
        <v>24</v>
      </c>
      <c r="G74" t="s">
        <v>16</v>
      </c>
      <c r="H74">
        <v>3305.94</v>
      </c>
      <c r="I74">
        <v>3599.27</v>
      </c>
      <c r="J74" t="s">
        <v>30</v>
      </c>
      <c r="K74">
        <v>0.09</v>
      </c>
      <c r="L74" t="s">
        <v>31</v>
      </c>
      <c r="M74" t="s">
        <v>22</v>
      </c>
      <c r="N74" t="s">
        <v>45</v>
      </c>
    </row>
    <row r="75" spans="1:14" x14ac:dyDescent="0.25">
      <c r="A75">
        <v>1006</v>
      </c>
      <c r="B75" s="1">
        <v>45185</v>
      </c>
      <c r="C75" t="s">
        <v>14</v>
      </c>
      <c r="D75" t="s">
        <v>15</v>
      </c>
      <c r="E75">
        <v>8995.75</v>
      </c>
      <c r="F75">
        <v>49</v>
      </c>
      <c r="G75" t="s">
        <v>26</v>
      </c>
      <c r="H75">
        <v>2843.76</v>
      </c>
      <c r="I75">
        <v>3146.6</v>
      </c>
      <c r="J75" t="s">
        <v>30</v>
      </c>
      <c r="K75">
        <v>0.08</v>
      </c>
      <c r="L75" t="s">
        <v>18</v>
      </c>
      <c r="M75" t="s">
        <v>22</v>
      </c>
      <c r="N75" t="s">
        <v>20</v>
      </c>
    </row>
    <row r="76" spans="1:14" x14ac:dyDescent="0.2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25">
      <c r="A77">
        <v>1004</v>
      </c>
      <c r="B77" s="1">
        <v>45104</v>
      </c>
      <c r="C77" t="s">
        <v>42</v>
      </c>
      <c r="D77" t="s">
        <v>21</v>
      </c>
      <c r="E77">
        <v>7825.72</v>
      </c>
      <c r="F77">
        <v>2</v>
      </c>
      <c r="G77" t="s">
        <v>35</v>
      </c>
      <c r="H77">
        <v>2953.23</v>
      </c>
      <c r="I77">
        <v>2977.52</v>
      </c>
      <c r="J77" t="s">
        <v>17</v>
      </c>
      <c r="K77">
        <v>0.11</v>
      </c>
      <c r="L77" t="s">
        <v>31</v>
      </c>
      <c r="M77" t="s">
        <v>22</v>
      </c>
      <c r="N77" t="s">
        <v>51</v>
      </c>
    </row>
    <row r="78" spans="1:14" x14ac:dyDescent="0.25">
      <c r="A78">
        <v>1054</v>
      </c>
      <c r="B78" s="1">
        <v>44936</v>
      </c>
      <c r="C78" t="s">
        <v>38</v>
      </c>
      <c r="D78" t="s">
        <v>25</v>
      </c>
      <c r="E78">
        <v>4634.16</v>
      </c>
      <c r="F78">
        <v>40</v>
      </c>
      <c r="G78" t="s">
        <v>16</v>
      </c>
      <c r="H78">
        <v>2654.11</v>
      </c>
      <c r="I78">
        <v>2929.32</v>
      </c>
      <c r="J78" t="s">
        <v>17</v>
      </c>
      <c r="K78">
        <v>0.08</v>
      </c>
      <c r="L78" t="s">
        <v>18</v>
      </c>
      <c r="M78" t="s">
        <v>19</v>
      </c>
      <c r="N78" t="s">
        <v>39</v>
      </c>
    </row>
    <row r="79" spans="1:14" x14ac:dyDescent="0.25">
      <c r="A79">
        <v>1093</v>
      </c>
      <c r="B79" s="1">
        <v>45187</v>
      </c>
      <c r="C79" t="s">
        <v>24</v>
      </c>
      <c r="D79" t="s">
        <v>21</v>
      </c>
      <c r="E79">
        <v>4040.25</v>
      </c>
      <c r="F79">
        <v>19</v>
      </c>
      <c r="G79" t="s">
        <v>35</v>
      </c>
      <c r="H79">
        <v>3808.59</v>
      </c>
      <c r="I79">
        <v>3844.51</v>
      </c>
      <c r="J79" t="s">
        <v>30</v>
      </c>
      <c r="K79">
        <v>0.21</v>
      </c>
      <c r="L79" t="s">
        <v>31</v>
      </c>
      <c r="M79" t="s">
        <v>19</v>
      </c>
      <c r="N79" t="s">
        <v>47</v>
      </c>
    </row>
    <row r="80" spans="1:14" x14ac:dyDescent="0.25">
      <c r="A80">
        <v>1063</v>
      </c>
      <c r="B80" s="1">
        <v>45064</v>
      </c>
      <c r="C80" t="s">
        <v>14</v>
      </c>
      <c r="D80" t="s">
        <v>21</v>
      </c>
      <c r="E80">
        <v>3098.87</v>
      </c>
      <c r="F80">
        <v>39</v>
      </c>
      <c r="G80" t="s">
        <v>26</v>
      </c>
      <c r="H80">
        <v>3577.69</v>
      </c>
      <c r="I80">
        <v>3931.25</v>
      </c>
      <c r="J80" t="s">
        <v>17</v>
      </c>
      <c r="K80">
        <v>0.21</v>
      </c>
      <c r="L80" t="s">
        <v>18</v>
      </c>
      <c r="M80" t="s">
        <v>22</v>
      </c>
      <c r="N80" t="s">
        <v>23</v>
      </c>
    </row>
    <row r="81" spans="1:14" x14ac:dyDescent="0.25">
      <c r="A81">
        <v>1018</v>
      </c>
      <c r="B81" s="1">
        <v>45098</v>
      </c>
      <c r="C81" t="s">
        <v>38</v>
      </c>
      <c r="D81" t="s">
        <v>15</v>
      </c>
      <c r="E81">
        <v>750.38</v>
      </c>
      <c r="F81">
        <v>28</v>
      </c>
      <c r="G81" t="s">
        <v>29</v>
      </c>
      <c r="H81">
        <v>1006.14</v>
      </c>
      <c r="I81">
        <v>1043.45</v>
      </c>
      <c r="J81" t="s">
        <v>30</v>
      </c>
      <c r="K81">
        <v>0.15</v>
      </c>
      <c r="L81" t="s">
        <v>27</v>
      </c>
      <c r="M81" t="s">
        <v>22</v>
      </c>
      <c r="N81" t="s">
        <v>40</v>
      </c>
    </row>
    <row r="82" spans="1:14" x14ac:dyDescent="0.2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2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2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25">
      <c r="A85">
        <v>1074</v>
      </c>
      <c r="B85" s="1">
        <v>45010</v>
      </c>
      <c r="C85" t="s">
        <v>38</v>
      </c>
      <c r="D85" t="s">
        <v>21</v>
      </c>
      <c r="E85">
        <v>7499.7</v>
      </c>
      <c r="F85">
        <v>38</v>
      </c>
      <c r="G85" t="s">
        <v>26</v>
      </c>
      <c r="H85">
        <v>2610.6</v>
      </c>
      <c r="I85">
        <v>2836.94</v>
      </c>
      <c r="J85" t="s">
        <v>17</v>
      </c>
      <c r="K85">
        <v>0.19</v>
      </c>
      <c r="L85" t="s">
        <v>31</v>
      </c>
      <c r="M85" t="s">
        <v>19</v>
      </c>
      <c r="N85" t="s">
        <v>41</v>
      </c>
    </row>
    <row r="86" spans="1:14" x14ac:dyDescent="0.25">
      <c r="A86">
        <v>1062</v>
      </c>
      <c r="B86" s="1">
        <v>45247</v>
      </c>
      <c r="C86" t="s">
        <v>33</v>
      </c>
      <c r="D86" t="s">
        <v>15</v>
      </c>
      <c r="E86">
        <v>4790.72</v>
      </c>
      <c r="F86">
        <v>28</v>
      </c>
      <c r="G86" t="s">
        <v>29</v>
      </c>
      <c r="H86">
        <v>2094.88</v>
      </c>
      <c r="I86">
        <v>2168.91</v>
      </c>
      <c r="J86" t="s">
        <v>17</v>
      </c>
      <c r="K86">
        <v>0.08</v>
      </c>
      <c r="L86" t="s">
        <v>18</v>
      </c>
      <c r="M86" t="s">
        <v>22</v>
      </c>
      <c r="N86" t="s">
        <v>53</v>
      </c>
    </row>
    <row r="87" spans="1:14" x14ac:dyDescent="0.2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2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2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2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25">
      <c r="A91">
        <v>1015</v>
      </c>
      <c r="B91" s="1">
        <v>45191</v>
      </c>
      <c r="C91" t="s">
        <v>24</v>
      </c>
      <c r="D91" t="s">
        <v>25</v>
      </c>
      <c r="E91">
        <v>9914.15</v>
      </c>
      <c r="F91">
        <v>22</v>
      </c>
      <c r="G91" t="s">
        <v>35</v>
      </c>
      <c r="H91">
        <v>4275.59</v>
      </c>
      <c r="I91">
        <v>4576.72</v>
      </c>
      <c r="J91" t="s">
        <v>17</v>
      </c>
      <c r="K91">
        <v>0.02</v>
      </c>
      <c r="L91" t="s">
        <v>18</v>
      </c>
      <c r="M91" t="s">
        <v>22</v>
      </c>
      <c r="N91" t="s">
        <v>28</v>
      </c>
    </row>
    <row r="92" spans="1:14" x14ac:dyDescent="0.25">
      <c r="A92">
        <v>1072</v>
      </c>
      <c r="B92" s="1">
        <v>44964</v>
      </c>
      <c r="C92" t="s">
        <v>14</v>
      </c>
      <c r="D92" t="s">
        <v>34</v>
      </c>
      <c r="E92">
        <v>5490.38</v>
      </c>
      <c r="F92">
        <v>26</v>
      </c>
      <c r="G92" t="s">
        <v>26</v>
      </c>
      <c r="H92">
        <v>3640.17</v>
      </c>
      <c r="I92">
        <v>4002.63</v>
      </c>
      <c r="J92" t="s">
        <v>30</v>
      </c>
      <c r="K92">
        <v>0.05</v>
      </c>
      <c r="L92" t="s">
        <v>31</v>
      </c>
      <c r="M92" t="s">
        <v>22</v>
      </c>
      <c r="N92" t="s">
        <v>46</v>
      </c>
    </row>
    <row r="93" spans="1:14" x14ac:dyDescent="0.25">
      <c r="A93">
        <v>1078</v>
      </c>
      <c r="B93" s="1">
        <v>45020</v>
      </c>
      <c r="C93" t="s">
        <v>24</v>
      </c>
      <c r="D93" t="s">
        <v>34</v>
      </c>
      <c r="E93">
        <v>9631.41</v>
      </c>
      <c r="F93">
        <v>49</v>
      </c>
      <c r="G93" t="s">
        <v>16</v>
      </c>
      <c r="H93">
        <v>1833.95</v>
      </c>
      <c r="I93">
        <v>2147.14</v>
      </c>
      <c r="J93" t="s">
        <v>17</v>
      </c>
      <c r="K93">
        <v>0.18</v>
      </c>
      <c r="L93" t="s">
        <v>31</v>
      </c>
      <c r="M93" t="s">
        <v>22</v>
      </c>
      <c r="N93" t="s">
        <v>50</v>
      </c>
    </row>
    <row r="94" spans="1:14" x14ac:dyDescent="0.25">
      <c r="A94">
        <v>1087</v>
      </c>
      <c r="B94" s="1">
        <v>45021</v>
      </c>
      <c r="C94" t="s">
        <v>38</v>
      </c>
      <c r="D94" t="s">
        <v>34</v>
      </c>
      <c r="E94">
        <v>848.49</v>
      </c>
      <c r="F94">
        <v>43</v>
      </c>
      <c r="G94" t="s">
        <v>16</v>
      </c>
      <c r="H94">
        <v>481</v>
      </c>
      <c r="I94">
        <v>531.02</v>
      </c>
      <c r="J94" t="s">
        <v>30</v>
      </c>
      <c r="K94">
        <v>0.17</v>
      </c>
      <c r="L94" t="s">
        <v>18</v>
      </c>
      <c r="M94" t="s">
        <v>19</v>
      </c>
      <c r="N94" t="s">
        <v>48</v>
      </c>
    </row>
    <row r="95" spans="1:14" x14ac:dyDescent="0.2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25">
      <c r="A96">
        <v>1040</v>
      </c>
      <c r="B96" s="1">
        <v>44995</v>
      </c>
      <c r="C96" t="s">
        <v>33</v>
      </c>
      <c r="D96" t="s">
        <v>34</v>
      </c>
      <c r="E96">
        <v>2331.27</v>
      </c>
      <c r="F96">
        <v>13</v>
      </c>
      <c r="G96" t="s">
        <v>29</v>
      </c>
      <c r="H96">
        <v>2750.18</v>
      </c>
      <c r="I96">
        <v>2882.85</v>
      </c>
      <c r="J96" t="s">
        <v>17</v>
      </c>
      <c r="K96">
        <v>0.24</v>
      </c>
      <c r="L96" t="s">
        <v>31</v>
      </c>
      <c r="M96" t="s">
        <v>19</v>
      </c>
      <c r="N96" t="s">
        <v>36</v>
      </c>
    </row>
    <row r="97" spans="1:14" x14ac:dyDescent="0.25">
      <c r="A97">
        <v>1085</v>
      </c>
      <c r="B97" s="1">
        <v>45244</v>
      </c>
      <c r="C97" t="s">
        <v>33</v>
      </c>
      <c r="D97" t="s">
        <v>25</v>
      </c>
      <c r="E97">
        <v>2038.75</v>
      </c>
      <c r="F97">
        <v>32</v>
      </c>
      <c r="G97" t="s">
        <v>16</v>
      </c>
      <c r="H97">
        <v>1074.93</v>
      </c>
      <c r="I97">
        <v>1492.48</v>
      </c>
      <c r="J97" t="s">
        <v>17</v>
      </c>
      <c r="K97">
        <v>0.04</v>
      </c>
      <c r="L97" t="s">
        <v>31</v>
      </c>
      <c r="M97" t="s">
        <v>22</v>
      </c>
      <c r="N97" t="s">
        <v>44</v>
      </c>
    </row>
    <row r="98" spans="1:14" x14ac:dyDescent="0.25">
      <c r="A98">
        <v>1080</v>
      </c>
      <c r="B98" s="1">
        <v>45162</v>
      </c>
      <c r="C98" t="s">
        <v>14</v>
      </c>
      <c r="D98" t="s">
        <v>21</v>
      </c>
      <c r="E98">
        <v>1493.95</v>
      </c>
      <c r="F98">
        <v>17</v>
      </c>
      <c r="G98" t="s">
        <v>16</v>
      </c>
      <c r="H98">
        <v>2742.67</v>
      </c>
      <c r="I98">
        <v>2979.64</v>
      </c>
      <c r="J98" t="s">
        <v>17</v>
      </c>
      <c r="K98">
        <v>0.01</v>
      </c>
      <c r="L98" t="s">
        <v>18</v>
      </c>
      <c r="M98" t="s">
        <v>22</v>
      </c>
      <c r="N98" t="s">
        <v>23</v>
      </c>
    </row>
    <row r="99" spans="1:14" x14ac:dyDescent="0.25">
      <c r="A99">
        <v>1082</v>
      </c>
      <c r="B99" s="1">
        <v>45260</v>
      </c>
      <c r="C99" t="s">
        <v>42</v>
      </c>
      <c r="D99" t="s">
        <v>25</v>
      </c>
      <c r="E99">
        <v>6261.9</v>
      </c>
      <c r="F99">
        <v>41</v>
      </c>
      <c r="G99" t="s">
        <v>35</v>
      </c>
      <c r="H99">
        <v>1196.42</v>
      </c>
      <c r="I99">
        <v>1444.97</v>
      </c>
      <c r="J99" t="s">
        <v>17</v>
      </c>
      <c r="K99">
        <v>0.21</v>
      </c>
      <c r="L99" t="s">
        <v>27</v>
      </c>
      <c r="M99" t="s">
        <v>19</v>
      </c>
      <c r="N99" t="s">
        <v>43</v>
      </c>
    </row>
    <row r="100" spans="1:14" x14ac:dyDescent="0.2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2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2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2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2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2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2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2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2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2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2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2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2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2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2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2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2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2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2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2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2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2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2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2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2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2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2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2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2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2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2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2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2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2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2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2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2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2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2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2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2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2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2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2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2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2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2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2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2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2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2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2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2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2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2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2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2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2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2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2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2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2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2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2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2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2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2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2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2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2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2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2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2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2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2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2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2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2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2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2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2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2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2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2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2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2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2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2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2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2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2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2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2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2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2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2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2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2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2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2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2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2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2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2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2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2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2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2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2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2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2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2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2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2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2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2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2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2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2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2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2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2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2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2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2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2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2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2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2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2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2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2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2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2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2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2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2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2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2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2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2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2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2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2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2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2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2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2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2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2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2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2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2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2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2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2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2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2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2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2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2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2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2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2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2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2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2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2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2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2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2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2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2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2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2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2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2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2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2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2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2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2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2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2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2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2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2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2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2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2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2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2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2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2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2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2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2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2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2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2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2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2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2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2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2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2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2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2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2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2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2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2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2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2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2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2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2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2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2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2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2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2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2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2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2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2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2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2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2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2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2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2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2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2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2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2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2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2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2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2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2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2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2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2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2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2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2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2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2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2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2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2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2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2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2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2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2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2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2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2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2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2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2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2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2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2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2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2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2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2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2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2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2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2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2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2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2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2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2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2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2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2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2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2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2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2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2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2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2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2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2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2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2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2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2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2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2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2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2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2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2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2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2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2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2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2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2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2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2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2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2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2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2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2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2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2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2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2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2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2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2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2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2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2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2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2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2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2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2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2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2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2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2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2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2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2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2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2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2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2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2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2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2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2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2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2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2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2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2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2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2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2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2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2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2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2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2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2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2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2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2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2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2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2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2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2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2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2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2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2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2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2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2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2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2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2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2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2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2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2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2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2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2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2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2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2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2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2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2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2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2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2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2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2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2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2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2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2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2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2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2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2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2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2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2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2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2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2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2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2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2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2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2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2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2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2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2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2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2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2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2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2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2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2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2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2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2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2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2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2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2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2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2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2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2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2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2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2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2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2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2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2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2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2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2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2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2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2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2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2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2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2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2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2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2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2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2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2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2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2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2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2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2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2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2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2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2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2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2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2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2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2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2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2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2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2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2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2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2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2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2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2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2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2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2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2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2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2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2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2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2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2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2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2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2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2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2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2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2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2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2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2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2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2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2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2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2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2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2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2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2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2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2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2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2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2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2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2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2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2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2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2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2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2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2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2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2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2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2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2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2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2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2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2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2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2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2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2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2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2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2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2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2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2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2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2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2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2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2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2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2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2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2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2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2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2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2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2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2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2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2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2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2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2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2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2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2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2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2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2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2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2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2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2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2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2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2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2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2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2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2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2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2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2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2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2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2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2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2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2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2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2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2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2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2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2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2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2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2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2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2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2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2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2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2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2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2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2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2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2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2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2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2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2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2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2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2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2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2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2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2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2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2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2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2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2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2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2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2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2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2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2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2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2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2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2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2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2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2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2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2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2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2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2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2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2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2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2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2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2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2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2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2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2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2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2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2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2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2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2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2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2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2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2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2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2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2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2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2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2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2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2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2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2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2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2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2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2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2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2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2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2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2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2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2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2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2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2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2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2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2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2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2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2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2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2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2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2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2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2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2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2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2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2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2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2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2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2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2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2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2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2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2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2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2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2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2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2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2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2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2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2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2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2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2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2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2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2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2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2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2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2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2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2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2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2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2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2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2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2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2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2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2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2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2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2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2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2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2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2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2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2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2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2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2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2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2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2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2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2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2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2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2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2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2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2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2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2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2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2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2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2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2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2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2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2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2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2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2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2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2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2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2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2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2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2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2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2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2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2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2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2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2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2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2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2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2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2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2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2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2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2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2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2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2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2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2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2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2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2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2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2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2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2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2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2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2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2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2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2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2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2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2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2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2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2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2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2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2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2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2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2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2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2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2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2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2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2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2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2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2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2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2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2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2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2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2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2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2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2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2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2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2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2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2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2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2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2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2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2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2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2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2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2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2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2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2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2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2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2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2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2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2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2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2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2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2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2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2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2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2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2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2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2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2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2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2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2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2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2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2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2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2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2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2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2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2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2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2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2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2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2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867F-979D-427A-9437-02947FB86E2D}">
  <sheetPr>
    <tabColor theme="4" tint="-0.249977111117893"/>
  </sheetPr>
  <dimension ref="A1:M1006"/>
  <sheetViews>
    <sheetView workbookViewId="0">
      <selection activeCell="A2" sqref="A2"/>
    </sheetView>
  </sheetViews>
  <sheetFormatPr defaultRowHeight="15" x14ac:dyDescent="0.25"/>
  <cols>
    <col min="1" max="1" width="11.85546875" bestFit="1" customWidth="1"/>
    <col min="2" max="2" width="10" bestFit="1" customWidth="1"/>
    <col min="3" max="3" width="7.140625" bestFit="1" customWidth="1"/>
    <col min="4" max="4" width="13.28515625" bestFit="1" customWidth="1"/>
    <col min="5" max="5" width="13.7109375" bestFit="1" customWidth="1"/>
    <col min="6" max="6" width="16.85546875" bestFit="1" customWidth="1"/>
    <col min="7" max="7" width="10.140625" bestFit="1" customWidth="1"/>
    <col min="8" max="8" width="15" bestFit="1" customWidth="1"/>
    <col min="9" max="9" width="8.7109375" bestFit="1" customWidth="1"/>
    <col min="10" max="10" width="17" bestFit="1" customWidth="1"/>
    <col min="11" max="11" width="14" bestFit="1" customWidth="1"/>
    <col min="12" max="12" width="21.85546875" bestFit="1" customWidth="1"/>
    <col min="13" max="13" width="17" bestFit="1" customWidth="1"/>
    <col min="14" max="14" width="14" bestFit="1" customWidth="1"/>
    <col min="15" max="16" width="21.85546875" bestFit="1" customWidth="1"/>
  </cols>
  <sheetData>
    <row r="1" spans="1:11" x14ac:dyDescent="0.25">
      <c r="A1" s="8" t="s">
        <v>60</v>
      </c>
      <c r="B1" s="8" t="s">
        <v>54</v>
      </c>
      <c r="C1" s="8" t="s">
        <v>3</v>
      </c>
      <c r="D1" s="8" t="s">
        <v>56</v>
      </c>
      <c r="E1" s="8" t="s">
        <v>75</v>
      </c>
      <c r="F1" s="8" t="s">
        <v>76</v>
      </c>
      <c r="G1" s="9" t="s">
        <v>77</v>
      </c>
      <c r="H1" s="8" t="s">
        <v>55</v>
      </c>
      <c r="I1" s="8" t="s">
        <v>10</v>
      </c>
      <c r="J1" s="8" t="s">
        <v>61</v>
      </c>
      <c r="K1" s="8" t="s">
        <v>78</v>
      </c>
    </row>
    <row r="2" spans="1:11" x14ac:dyDescent="0.25">
      <c r="A2" s="1" t="s">
        <v>67</v>
      </c>
      <c r="B2" t="s">
        <v>38</v>
      </c>
      <c r="C2" t="s">
        <v>25</v>
      </c>
      <c r="D2" s="6">
        <f t="shared" ref="D2:D65" si="0">(Unit_Price*Qty_Sold)*(1-Discount)</f>
        <v>160489.03200000001</v>
      </c>
      <c r="E2" s="5">
        <v>46</v>
      </c>
      <c r="F2" t="s">
        <v>16</v>
      </c>
      <c r="G2" s="6">
        <v>3964.65</v>
      </c>
      <c r="H2" t="s">
        <v>30</v>
      </c>
      <c r="I2" s="7">
        <v>0.12</v>
      </c>
      <c r="J2" t="s">
        <v>27</v>
      </c>
      <c r="K2" t="s">
        <v>19</v>
      </c>
    </row>
    <row r="3" spans="1:11" x14ac:dyDescent="0.25">
      <c r="A3" s="1" t="s">
        <v>67</v>
      </c>
      <c r="B3" t="s">
        <v>38</v>
      </c>
      <c r="C3" t="s">
        <v>34</v>
      </c>
      <c r="D3" s="6">
        <f t="shared" si="0"/>
        <v>44654.896000000001</v>
      </c>
      <c r="E3" s="5">
        <v>10</v>
      </c>
      <c r="F3" t="s">
        <v>35</v>
      </c>
      <c r="G3" s="6">
        <v>5074.42</v>
      </c>
      <c r="H3" t="s">
        <v>30</v>
      </c>
      <c r="I3" s="7">
        <v>0.12</v>
      </c>
      <c r="J3" t="s">
        <v>18</v>
      </c>
      <c r="K3" t="s">
        <v>19</v>
      </c>
    </row>
    <row r="4" spans="1:11" x14ac:dyDescent="0.25">
      <c r="A4" s="1" t="s">
        <v>67</v>
      </c>
      <c r="B4" t="s">
        <v>42</v>
      </c>
      <c r="C4" t="s">
        <v>15</v>
      </c>
      <c r="D4" s="6">
        <f t="shared" si="0"/>
        <v>8776.4291999999987</v>
      </c>
      <c r="E4" s="5">
        <v>11</v>
      </c>
      <c r="F4" t="s">
        <v>26</v>
      </c>
      <c r="G4" s="6">
        <v>814.14</v>
      </c>
      <c r="H4" t="s">
        <v>17</v>
      </c>
      <c r="I4" s="7">
        <v>0.02</v>
      </c>
      <c r="J4" t="s">
        <v>18</v>
      </c>
      <c r="K4" t="s">
        <v>19</v>
      </c>
    </row>
    <row r="5" spans="1:11" x14ac:dyDescent="0.25">
      <c r="A5" s="1" t="s">
        <v>67</v>
      </c>
      <c r="B5" t="s">
        <v>38</v>
      </c>
      <c r="C5" t="s">
        <v>34</v>
      </c>
      <c r="D5" s="6">
        <f t="shared" si="0"/>
        <v>52062.098999999995</v>
      </c>
      <c r="E5" s="5">
        <v>15</v>
      </c>
      <c r="F5" t="s">
        <v>29</v>
      </c>
      <c r="G5" s="6">
        <v>4888.46</v>
      </c>
      <c r="H5" t="s">
        <v>30</v>
      </c>
      <c r="I5" s="7">
        <v>0.28999999999999998</v>
      </c>
      <c r="J5" t="s">
        <v>31</v>
      </c>
      <c r="K5" t="s">
        <v>19</v>
      </c>
    </row>
    <row r="6" spans="1:11" x14ac:dyDescent="0.25">
      <c r="A6" s="1" t="s">
        <v>67</v>
      </c>
      <c r="B6" t="s">
        <v>38</v>
      </c>
      <c r="C6" t="s">
        <v>15</v>
      </c>
      <c r="D6" s="6">
        <f t="shared" si="0"/>
        <v>46757.592000000004</v>
      </c>
      <c r="E6" s="5">
        <v>14</v>
      </c>
      <c r="F6" t="s">
        <v>35</v>
      </c>
      <c r="G6" s="6">
        <v>3710.92</v>
      </c>
      <c r="H6" t="s">
        <v>30</v>
      </c>
      <c r="I6" s="7">
        <v>0.1</v>
      </c>
      <c r="J6" t="s">
        <v>27</v>
      </c>
      <c r="K6" t="s">
        <v>22</v>
      </c>
    </row>
    <row r="7" spans="1:11" x14ac:dyDescent="0.25">
      <c r="A7" s="1" t="s">
        <v>67</v>
      </c>
      <c r="B7" t="s">
        <v>42</v>
      </c>
      <c r="C7" t="s">
        <v>34</v>
      </c>
      <c r="D7" s="6">
        <f t="shared" si="0"/>
        <v>27709.77</v>
      </c>
      <c r="E7" s="5">
        <v>11</v>
      </c>
      <c r="F7" t="s">
        <v>29</v>
      </c>
      <c r="G7" s="6">
        <v>2519.0700000000002</v>
      </c>
      <c r="H7" t="s">
        <v>17</v>
      </c>
      <c r="I7" s="7">
        <v>0</v>
      </c>
      <c r="J7" t="s">
        <v>18</v>
      </c>
      <c r="K7" t="s">
        <v>19</v>
      </c>
    </row>
    <row r="8" spans="1:11" x14ac:dyDescent="0.25">
      <c r="A8" s="1" t="s">
        <v>67</v>
      </c>
      <c r="B8" t="s">
        <v>33</v>
      </c>
      <c r="C8" t="s">
        <v>34</v>
      </c>
      <c r="D8" s="6">
        <f t="shared" si="0"/>
        <v>151423.35999999999</v>
      </c>
      <c r="E8" s="5">
        <v>40</v>
      </c>
      <c r="F8" t="s">
        <v>35</v>
      </c>
      <c r="G8" s="6">
        <v>4731.9799999999996</v>
      </c>
      <c r="H8" t="s">
        <v>30</v>
      </c>
      <c r="I8" s="7">
        <v>0.2</v>
      </c>
      <c r="J8" t="s">
        <v>27</v>
      </c>
      <c r="K8" t="s">
        <v>22</v>
      </c>
    </row>
    <row r="9" spans="1:11" x14ac:dyDescent="0.25">
      <c r="A9" s="1" t="s">
        <v>67</v>
      </c>
      <c r="B9" t="s">
        <v>38</v>
      </c>
      <c r="C9" t="s">
        <v>15</v>
      </c>
      <c r="D9" s="6">
        <f t="shared" si="0"/>
        <v>183223.38399999996</v>
      </c>
      <c r="E9" s="5">
        <v>38</v>
      </c>
      <c r="F9" t="s">
        <v>29</v>
      </c>
      <c r="G9" s="6">
        <v>5075.4399999999996</v>
      </c>
      <c r="H9" t="s">
        <v>17</v>
      </c>
      <c r="I9" s="7">
        <v>0.05</v>
      </c>
      <c r="J9" t="s">
        <v>18</v>
      </c>
      <c r="K9" t="s">
        <v>19</v>
      </c>
    </row>
    <row r="10" spans="1:11" x14ac:dyDescent="0.25">
      <c r="A10" s="1" t="s">
        <v>67</v>
      </c>
      <c r="B10" t="s">
        <v>38</v>
      </c>
      <c r="C10" t="s">
        <v>25</v>
      </c>
      <c r="D10" s="6">
        <f t="shared" si="0"/>
        <v>107798.97600000001</v>
      </c>
      <c r="E10" s="5">
        <v>40</v>
      </c>
      <c r="F10" t="s">
        <v>16</v>
      </c>
      <c r="G10" s="6">
        <v>2929.32</v>
      </c>
      <c r="H10" t="s">
        <v>17</v>
      </c>
      <c r="I10" s="7">
        <v>0.08</v>
      </c>
      <c r="J10" t="s">
        <v>18</v>
      </c>
      <c r="K10" t="s">
        <v>19</v>
      </c>
    </row>
    <row r="11" spans="1:11" x14ac:dyDescent="0.25">
      <c r="A11" s="1" t="s">
        <v>67</v>
      </c>
      <c r="B11" t="s">
        <v>42</v>
      </c>
      <c r="C11" t="s">
        <v>34</v>
      </c>
      <c r="D11" s="6">
        <f t="shared" si="0"/>
        <v>37172.065700000006</v>
      </c>
      <c r="E11" s="5">
        <v>17</v>
      </c>
      <c r="F11" t="s">
        <v>29</v>
      </c>
      <c r="G11" s="6">
        <v>2839.73</v>
      </c>
      <c r="H11" t="s">
        <v>17</v>
      </c>
      <c r="I11" s="7">
        <v>0.23</v>
      </c>
      <c r="J11" t="s">
        <v>27</v>
      </c>
      <c r="K11" t="s">
        <v>22</v>
      </c>
    </row>
    <row r="12" spans="1:11" x14ac:dyDescent="0.25">
      <c r="A12" s="1" t="s">
        <v>67</v>
      </c>
      <c r="B12" t="s">
        <v>33</v>
      </c>
      <c r="C12" t="s">
        <v>15</v>
      </c>
      <c r="D12" s="6">
        <f t="shared" si="0"/>
        <v>129571.47</v>
      </c>
      <c r="E12" s="5">
        <v>35</v>
      </c>
      <c r="F12" t="s">
        <v>29</v>
      </c>
      <c r="G12" s="6">
        <v>4304.7</v>
      </c>
      <c r="H12" t="s">
        <v>30</v>
      </c>
      <c r="I12" s="7">
        <v>0.14000000000000001</v>
      </c>
      <c r="J12" t="s">
        <v>31</v>
      </c>
      <c r="K12" t="s">
        <v>19</v>
      </c>
    </row>
    <row r="13" spans="1:11" x14ac:dyDescent="0.25">
      <c r="A13" s="1" t="s">
        <v>67</v>
      </c>
      <c r="B13" t="s">
        <v>14</v>
      </c>
      <c r="C13" t="s">
        <v>25</v>
      </c>
      <c r="D13" s="6">
        <f t="shared" si="0"/>
        <v>40035.547199999994</v>
      </c>
      <c r="E13" s="5">
        <v>44</v>
      </c>
      <c r="F13" t="s">
        <v>26</v>
      </c>
      <c r="G13" s="6">
        <v>938.04</v>
      </c>
      <c r="H13" t="s">
        <v>17</v>
      </c>
      <c r="I13" s="7">
        <v>0.03</v>
      </c>
      <c r="J13" t="s">
        <v>18</v>
      </c>
      <c r="K13" t="s">
        <v>19</v>
      </c>
    </row>
    <row r="14" spans="1:11" x14ac:dyDescent="0.25">
      <c r="A14" s="1" t="s">
        <v>67</v>
      </c>
      <c r="B14" t="s">
        <v>42</v>
      </c>
      <c r="C14" t="s">
        <v>21</v>
      </c>
      <c r="D14" s="6">
        <f t="shared" si="0"/>
        <v>30856.665599999997</v>
      </c>
      <c r="E14" s="5">
        <v>24</v>
      </c>
      <c r="F14" t="s">
        <v>29</v>
      </c>
      <c r="G14" s="6">
        <v>1367.76</v>
      </c>
      <c r="H14" t="s">
        <v>30</v>
      </c>
      <c r="I14" s="7">
        <v>0.06</v>
      </c>
      <c r="J14" t="s">
        <v>27</v>
      </c>
      <c r="K14" t="s">
        <v>19</v>
      </c>
    </row>
    <row r="15" spans="1:11" x14ac:dyDescent="0.25">
      <c r="A15" s="1" t="s">
        <v>67</v>
      </c>
      <c r="B15" t="s">
        <v>14</v>
      </c>
      <c r="C15" t="s">
        <v>15</v>
      </c>
      <c r="D15" s="6">
        <f t="shared" si="0"/>
        <v>94494.151999999987</v>
      </c>
      <c r="E15" s="5">
        <v>40</v>
      </c>
      <c r="F15" t="s">
        <v>29</v>
      </c>
      <c r="G15" s="6">
        <v>3192.37</v>
      </c>
      <c r="H15" t="s">
        <v>17</v>
      </c>
      <c r="I15" s="7">
        <v>0.26</v>
      </c>
      <c r="J15" t="s">
        <v>27</v>
      </c>
      <c r="K15" t="s">
        <v>19</v>
      </c>
    </row>
    <row r="16" spans="1:11" x14ac:dyDescent="0.25">
      <c r="A16" s="1" t="s">
        <v>67</v>
      </c>
      <c r="B16" t="s">
        <v>14</v>
      </c>
      <c r="C16" t="s">
        <v>21</v>
      </c>
      <c r="D16" s="6">
        <f t="shared" si="0"/>
        <v>10680.7012</v>
      </c>
      <c r="E16" s="5">
        <v>26</v>
      </c>
      <c r="F16" t="s">
        <v>26</v>
      </c>
      <c r="G16" s="6">
        <v>477.67</v>
      </c>
      <c r="H16" t="s">
        <v>17</v>
      </c>
      <c r="I16" s="7">
        <v>0.14000000000000001</v>
      </c>
      <c r="J16" t="s">
        <v>18</v>
      </c>
      <c r="K16" t="s">
        <v>22</v>
      </c>
    </row>
    <row r="17" spans="1:11" x14ac:dyDescent="0.25">
      <c r="A17" s="1" t="s">
        <v>67</v>
      </c>
      <c r="B17" t="s">
        <v>38</v>
      </c>
      <c r="C17" t="s">
        <v>15</v>
      </c>
      <c r="D17" s="6">
        <f t="shared" si="0"/>
        <v>41145.589999999997</v>
      </c>
      <c r="E17" s="5">
        <v>25</v>
      </c>
      <c r="F17" t="s">
        <v>35</v>
      </c>
      <c r="G17" s="6">
        <v>1982.92</v>
      </c>
      <c r="H17" t="s">
        <v>30</v>
      </c>
      <c r="I17" s="7">
        <v>0.17</v>
      </c>
      <c r="J17" t="s">
        <v>27</v>
      </c>
      <c r="K17" t="s">
        <v>19</v>
      </c>
    </row>
    <row r="18" spans="1:11" x14ac:dyDescent="0.25">
      <c r="A18" s="1" t="s">
        <v>67</v>
      </c>
      <c r="B18" t="s">
        <v>42</v>
      </c>
      <c r="C18" t="s">
        <v>34</v>
      </c>
      <c r="D18" s="6">
        <f t="shared" si="0"/>
        <v>1353.8596</v>
      </c>
      <c r="E18" s="5">
        <v>2</v>
      </c>
      <c r="F18" t="s">
        <v>29</v>
      </c>
      <c r="G18" s="6">
        <v>914.77</v>
      </c>
      <c r="H18" t="s">
        <v>17</v>
      </c>
      <c r="I18" s="7">
        <v>0.26</v>
      </c>
      <c r="J18" t="s">
        <v>27</v>
      </c>
      <c r="K18" t="s">
        <v>19</v>
      </c>
    </row>
    <row r="19" spans="1:11" x14ac:dyDescent="0.25">
      <c r="A19" s="1" t="s">
        <v>73</v>
      </c>
      <c r="B19" t="s">
        <v>24</v>
      </c>
      <c r="C19" t="s">
        <v>34</v>
      </c>
      <c r="D19" s="6">
        <f t="shared" si="0"/>
        <v>287.32990000000001</v>
      </c>
      <c r="E19" s="5">
        <v>1</v>
      </c>
      <c r="F19" t="s">
        <v>26</v>
      </c>
      <c r="G19" s="6">
        <v>404.69</v>
      </c>
      <c r="H19" t="s">
        <v>17</v>
      </c>
      <c r="I19" s="7">
        <v>0.28999999999999998</v>
      </c>
      <c r="J19" t="s">
        <v>27</v>
      </c>
      <c r="K19" t="s">
        <v>19</v>
      </c>
    </row>
    <row r="20" spans="1:11" x14ac:dyDescent="0.25">
      <c r="A20" s="1" t="s">
        <v>67</v>
      </c>
      <c r="B20" t="s">
        <v>38</v>
      </c>
      <c r="C20" t="s">
        <v>15</v>
      </c>
      <c r="D20" s="6">
        <f t="shared" si="0"/>
        <v>28872.077499999999</v>
      </c>
      <c r="E20" s="5">
        <v>35</v>
      </c>
      <c r="F20" t="s">
        <v>35</v>
      </c>
      <c r="G20" s="6">
        <v>970.49</v>
      </c>
      <c r="H20" t="s">
        <v>17</v>
      </c>
      <c r="I20" s="7">
        <v>0.15</v>
      </c>
      <c r="J20" t="s">
        <v>27</v>
      </c>
      <c r="K20" t="s">
        <v>22</v>
      </c>
    </row>
    <row r="21" spans="1:11" x14ac:dyDescent="0.25">
      <c r="A21" s="1" t="s">
        <v>67</v>
      </c>
      <c r="B21" t="s">
        <v>33</v>
      </c>
      <c r="C21" t="s">
        <v>34</v>
      </c>
      <c r="D21" s="6">
        <f t="shared" si="0"/>
        <v>26266.169999999813</v>
      </c>
      <c r="E21" s="5">
        <v>25</v>
      </c>
      <c r="F21" t="s">
        <v>26</v>
      </c>
      <c r="G21" s="6">
        <v>1382.4299999999901</v>
      </c>
      <c r="H21" t="s">
        <v>17</v>
      </c>
      <c r="I21" s="7">
        <v>0.24</v>
      </c>
      <c r="J21" t="s">
        <v>31</v>
      </c>
      <c r="K21" t="s">
        <v>22</v>
      </c>
    </row>
    <row r="22" spans="1:11" x14ac:dyDescent="0.25">
      <c r="A22" s="1" t="s">
        <v>67</v>
      </c>
      <c r="B22" t="s">
        <v>14</v>
      </c>
      <c r="C22" t="s">
        <v>25</v>
      </c>
      <c r="D22" s="6">
        <f t="shared" si="0"/>
        <v>34848.808799999999</v>
      </c>
      <c r="E22" s="5">
        <v>13</v>
      </c>
      <c r="F22" t="s">
        <v>29</v>
      </c>
      <c r="G22" s="6">
        <v>2913.78</v>
      </c>
      <c r="H22" t="s">
        <v>30</v>
      </c>
      <c r="I22" s="7">
        <v>0.08</v>
      </c>
      <c r="J22" t="s">
        <v>31</v>
      </c>
      <c r="K22" t="s">
        <v>22</v>
      </c>
    </row>
    <row r="23" spans="1:11" x14ac:dyDescent="0.25">
      <c r="A23" s="1" t="s">
        <v>67</v>
      </c>
      <c r="B23" t="s">
        <v>38</v>
      </c>
      <c r="C23" t="s">
        <v>25</v>
      </c>
      <c r="D23" s="6">
        <f t="shared" si="0"/>
        <v>7767.27</v>
      </c>
      <c r="E23" s="5">
        <v>12</v>
      </c>
      <c r="F23" t="s">
        <v>16</v>
      </c>
      <c r="G23" s="6">
        <v>863.03</v>
      </c>
      <c r="H23" t="s">
        <v>17</v>
      </c>
      <c r="I23" s="7">
        <v>0.25</v>
      </c>
      <c r="J23" t="s">
        <v>27</v>
      </c>
      <c r="K23" t="s">
        <v>22</v>
      </c>
    </row>
    <row r="24" spans="1:11" x14ac:dyDescent="0.25">
      <c r="A24" s="1" t="s">
        <v>67</v>
      </c>
      <c r="B24" t="s">
        <v>38</v>
      </c>
      <c r="C24" t="s">
        <v>15</v>
      </c>
      <c r="D24" s="6">
        <f t="shared" si="0"/>
        <v>28242.609999999997</v>
      </c>
      <c r="E24" s="5">
        <v>22</v>
      </c>
      <c r="F24" t="s">
        <v>35</v>
      </c>
      <c r="G24" s="6">
        <v>1510.3</v>
      </c>
      <c r="H24" t="s">
        <v>17</v>
      </c>
      <c r="I24" s="7">
        <v>0.15</v>
      </c>
      <c r="J24" t="s">
        <v>18</v>
      </c>
      <c r="K24" t="s">
        <v>22</v>
      </c>
    </row>
    <row r="25" spans="1:11" x14ac:dyDescent="0.25">
      <c r="A25" s="1" t="s">
        <v>67</v>
      </c>
      <c r="B25" t="s">
        <v>14</v>
      </c>
      <c r="C25" t="s">
        <v>25</v>
      </c>
      <c r="D25" s="6">
        <f t="shared" si="0"/>
        <v>184073.73749999999</v>
      </c>
      <c r="E25" s="5">
        <v>47</v>
      </c>
      <c r="F25" t="s">
        <v>16</v>
      </c>
      <c r="G25" s="6">
        <v>4211.25</v>
      </c>
      <c r="H25" t="s">
        <v>17</v>
      </c>
      <c r="I25" s="7">
        <v>7.0000000000000007E-2</v>
      </c>
      <c r="J25" t="s">
        <v>27</v>
      </c>
      <c r="K25" t="s">
        <v>19</v>
      </c>
    </row>
    <row r="26" spans="1:11" x14ac:dyDescent="0.25">
      <c r="A26" s="1" t="s">
        <v>67</v>
      </c>
      <c r="B26" t="s">
        <v>33</v>
      </c>
      <c r="C26" t="s">
        <v>25</v>
      </c>
      <c r="D26" s="6">
        <f t="shared" si="0"/>
        <v>69494.436000000016</v>
      </c>
      <c r="E26" s="5">
        <v>17</v>
      </c>
      <c r="F26" t="s">
        <v>29</v>
      </c>
      <c r="G26" s="6">
        <v>4645.3500000000004</v>
      </c>
      <c r="H26" t="s">
        <v>30</v>
      </c>
      <c r="I26" s="7">
        <v>0.12</v>
      </c>
      <c r="J26" t="s">
        <v>31</v>
      </c>
      <c r="K26" t="s">
        <v>22</v>
      </c>
    </row>
    <row r="27" spans="1:11" x14ac:dyDescent="0.25">
      <c r="A27" s="1" t="s">
        <v>67</v>
      </c>
      <c r="B27" t="s">
        <v>14</v>
      </c>
      <c r="C27" t="s">
        <v>21</v>
      </c>
      <c r="D27" s="6">
        <f t="shared" si="0"/>
        <v>31409.279999999999</v>
      </c>
      <c r="E27" s="5">
        <v>7</v>
      </c>
      <c r="F27" t="s">
        <v>29</v>
      </c>
      <c r="G27" s="6">
        <v>4723.2</v>
      </c>
      <c r="H27" t="s">
        <v>17</v>
      </c>
      <c r="I27" s="7">
        <v>0.05</v>
      </c>
      <c r="J27" t="s">
        <v>31</v>
      </c>
      <c r="K27" t="s">
        <v>22</v>
      </c>
    </row>
    <row r="28" spans="1:11" x14ac:dyDescent="0.25">
      <c r="A28" s="1" t="s">
        <v>67</v>
      </c>
      <c r="B28" t="s">
        <v>33</v>
      </c>
      <c r="C28" t="s">
        <v>34</v>
      </c>
      <c r="D28" s="6">
        <f t="shared" si="0"/>
        <v>66338.940799999997</v>
      </c>
      <c r="E28" s="5">
        <v>44</v>
      </c>
      <c r="F28" t="s">
        <v>35</v>
      </c>
      <c r="G28" s="6">
        <v>1983.82</v>
      </c>
      <c r="H28" t="s">
        <v>30</v>
      </c>
      <c r="I28" s="7">
        <v>0.24</v>
      </c>
      <c r="J28" t="s">
        <v>31</v>
      </c>
      <c r="K28" t="s">
        <v>19</v>
      </c>
    </row>
    <row r="29" spans="1:11" x14ac:dyDescent="0.25">
      <c r="A29" s="1" t="s">
        <v>69</v>
      </c>
      <c r="B29" t="s">
        <v>24</v>
      </c>
      <c r="C29" t="s">
        <v>15</v>
      </c>
      <c r="D29" s="6">
        <f t="shared" si="0"/>
        <v>630.77820000000008</v>
      </c>
      <c r="E29" s="5">
        <v>1</v>
      </c>
      <c r="F29" t="s">
        <v>16</v>
      </c>
      <c r="G29" s="6">
        <v>808.69</v>
      </c>
      <c r="H29" t="s">
        <v>30</v>
      </c>
      <c r="I29" s="7">
        <v>0.22</v>
      </c>
      <c r="J29" t="s">
        <v>31</v>
      </c>
      <c r="K29" t="s">
        <v>19</v>
      </c>
    </row>
    <row r="30" spans="1:11" x14ac:dyDescent="0.25">
      <c r="A30" s="1" t="s">
        <v>67</v>
      </c>
      <c r="B30" t="s">
        <v>14</v>
      </c>
      <c r="C30" t="s">
        <v>15</v>
      </c>
      <c r="D30" s="6">
        <f t="shared" si="0"/>
        <v>27866.312099999996</v>
      </c>
      <c r="E30" s="5">
        <v>9</v>
      </c>
      <c r="F30" t="s">
        <v>16</v>
      </c>
      <c r="G30" s="6">
        <v>3730.43</v>
      </c>
      <c r="H30" t="s">
        <v>30</v>
      </c>
      <c r="I30" s="7">
        <v>0.17</v>
      </c>
      <c r="J30" t="s">
        <v>27</v>
      </c>
      <c r="K30" t="s">
        <v>19</v>
      </c>
    </row>
    <row r="31" spans="1:11" x14ac:dyDescent="0.25">
      <c r="A31" s="1" t="s">
        <v>70</v>
      </c>
      <c r="B31" t="s">
        <v>24</v>
      </c>
      <c r="C31" t="s">
        <v>34</v>
      </c>
      <c r="D31" s="6">
        <f t="shared" si="0"/>
        <v>1470.3506</v>
      </c>
      <c r="E31" s="5">
        <v>1</v>
      </c>
      <c r="F31" t="s">
        <v>26</v>
      </c>
      <c r="G31" s="6">
        <v>1709.71</v>
      </c>
      <c r="H31" t="s">
        <v>17</v>
      </c>
      <c r="I31" s="7">
        <v>0.14000000000000001</v>
      </c>
      <c r="J31" t="s">
        <v>31</v>
      </c>
      <c r="K31" t="s">
        <v>19</v>
      </c>
    </row>
    <row r="32" spans="1:11" x14ac:dyDescent="0.25">
      <c r="A32" s="1" t="s">
        <v>67</v>
      </c>
      <c r="B32" t="s">
        <v>38</v>
      </c>
      <c r="C32" t="s">
        <v>15</v>
      </c>
      <c r="D32" s="6">
        <f t="shared" si="0"/>
        <v>18939.224999999999</v>
      </c>
      <c r="E32" s="5">
        <v>5</v>
      </c>
      <c r="F32" t="s">
        <v>26</v>
      </c>
      <c r="G32" s="6">
        <v>5050.46</v>
      </c>
      <c r="H32" t="s">
        <v>30</v>
      </c>
      <c r="I32" s="7">
        <v>0.25</v>
      </c>
      <c r="J32" t="s">
        <v>18</v>
      </c>
      <c r="K32" t="s">
        <v>22</v>
      </c>
    </row>
    <row r="33" spans="1:11" x14ac:dyDescent="0.25">
      <c r="A33" s="1" t="s">
        <v>67</v>
      </c>
      <c r="B33" t="s">
        <v>38</v>
      </c>
      <c r="C33" t="s">
        <v>34</v>
      </c>
      <c r="D33" s="6">
        <f t="shared" si="0"/>
        <v>162512.91</v>
      </c>
      <c r="E33" s="5">
        <v>43</v>
      </c>
      <c r="F33" t="s">
        <v>29</v>
      </c>
      <c r="G33" s="6">
        <v>4199.3</v>
      </c>
      <c r="H33" t="s">
        <v>30</v>
      </c>
      <c r="I33" s="7">
        <v>0.1</v>
      </c>
      <c r="J33" t="s">
        <v>27</v>
      </c>
      <c r="K33" t="s">
        <v>22</v>
      </c>
    </row>
    <row r="34" spans="1:11" x14ac:dyDescent="0.25">
      <c r="A34" s="1" t="s">
        <v>67</v>
      </c>
      <c r="B34" t="s">
        <v>14</v>
      </c>
      <c r="C34" t="s">
        <v>34</v>
      </c>
      <c r="D34" s="6">
        <f t="shared" si="0"/>
        <v>24893.9244</v>
      </c>
      <c r="E34" s="5">
        <v>6</v>
      </c>
      <c r="F34" t="s">
        <v>26</v>
      </c>
      <c r="G34" s="6">
        <v>4998.78</v>
      </c>
      <c r="H34" t="s">
        <v>17</v>
      </c>
      <c r="I34" s="7">
        <v>0.17</v>
      </c>
      <c r="J34" t="s">
        <v>18</v>
      </c>
      <c r="K34" t="s">
        <v>22</v>
      </c>
    </row>
    <row r="35" spans="1:11" x14ac:dyDescent="0.25">
      <c r="A35" s="1" t="s">
        <v>67</v>
      </c>
      <c r="B35" t="s">
        <v>33</v>
      </c>
      <c r="C35" t="s">
        <v>15</v>
      </c>
      <c r="D35" s="6">
        <f t="shared" si="0"/>
        <v>24587.366399999955</v>
      </c>
      <c r="E35" s="5">
        <v>48</v>
      </c>
      <c r="F35" t="s">
        <v>35</v>
      </c>
      <c r="G35" s="6">
        <v>533.57999999999902</v>
      </c>
      <c r="H35" t="s">
        <v>30</v>
      </c>
      <c r="I35" s="7">
        <v>0.04</v>
      </c>
      <c r="J35" t="s">
        <v>27</v>
      </c>
      <c r="K35" t="s">
        <v>19</v>
      </c>
    </row>
    <row r="36" spans="1:11" x14ac:dyDescent="0.25">
      <c r="A36" s="1" t="s">
        <v>67</v>
      </c>
      <c r="B36" t="s">
        <v>14</v>
      </c>
      <c r="C36" t="s">
        <v>34</v>
      </c>
      <c r="D36" s="6">
        <f t="shared" si="0"/>
        <v>25058.0969</v>
      </c>
      <c r="E36" s="5">
        <v>17</v>
      </c>
      <c r="F36" t="s">
        <v>16</v>
      </c>
      <c r="G36" s="6">
        <v>1865.83</v>
      </c>
      <c r="H36" t="s">
        <v>30</v>
      </c>
      <c r="I36" s="7">
        <v>0.21</v>
      </c>
      <c r="J36" t="s">
        <v>18</v>
      </c>
      <c r="K36" t="s">
        <v>19</v>
      </c>
    </row>
    <row r="37" spans="1:11" x14ac:dyDescent="0.25">
      <c r="A37" s="1" t="s">
        <v>67</v>
      </c>
      <c r="B37" t="s">
        <v>33</v>
      </c>
      <c r="C37" t="s">
        <v>25</v>
      </c>
      <c r="D37" s="6">
        <f t="shared" si="0"/>
        <v>29021.94899999983</v>
      </c>
      <c r="E37" s="5">
        <v>19</v>
      </c>
      <c r="F37" t="s">
        <v>35</v>
      </c>
      <c r="G37" s="6">
        <v>1697.1899999999901</v>
      </c>
      <c r="H37" t="s">
        <v>30</v>
      </c>
      <c r="I37" s="7">
        <v>0.1</v>
      </c>
      <c r="J37" t="s">
        <v>31</v>
      </c>
      <c r="K37" t="s">
        <v>19</v>
      </c>
    </row>
    <row r="38" spans="1:11" x14ac:dyDescent="0.25">
      <c r="A38" s="1" t="s">
        <v>67</v>
      </c>
      <c r="B38" t="s">
        <v>14</v>
      </c>
      <c r="C38" t="s">
        <v>25</v>
      </c>
      <c r="D38" s="6">
        <f t="shared" si="0"/>
        <v>4653.6966000000002</v>
      </c>
      <c r="E38" s="5">
        <v>3</v>
      </c>
      <c r="F38" t="s">
        <v>35</v>
      </c>
      <c r="G38" s="6">
        <v>1582.89</v>
      </c>
      <c r="H38" t="s">
        <v>30</v>
      </c>
      <c r="I38" s="7">
        <v>0.02</v>
      </c>
      <c r="J38" t="s">
        <v>31</v>
      </c>
      <c r="K38" t="s">
        <v>22</v>
      </c>
    </row>
    <row r="39" spans="1:11" x14ac:dyDescent="0.25">
      <c r="A39" s="1" t="s">
        <v>67</v>
      </c>
      <c r="B39" t="s">
        <v>38</v>
      </c>
      <c r="C39" t="s">
        <v>15</v>
      </c>
      <c r="D39" s="6">
        <f t="shared" si="0"/>
        <v>111129.76610000001</v>
      </c>
      <c r="E39" s="5">
        <v>41</v>
      </c>
      <c r="F39" t="s">
        <v>26</v>
      </c>
      <c r="G39" s="6">
        <v>3430.99</v>
      </c>
      <c r="H39" t="s">
        <v>30</v>
      </c>
      <c r="I39" s="7">
        <v>0.21</v>
      </c>
      <c r="J39" t="s">
        <v>27</v>
      </c>
      <c r="K39" t="s">
        <v>22</v>
      </c>
    </row>
    <row r="40" spans="1:11" x14ac:dyDescent="0.25">
      <c r="A40" s="1" t="s">
        <v>67</v>
      </c>
      <c r="B40" t="s">
        <v>38</v>
      </c>
      <c r="C40" t="s">
        <v>15</v>
      </c>
      <c r="D40" s="6">
        <f t="shared" si="0"/>
        <v>61999.68</v>
      </c>
      <c r="E40" s="5">
        <v>25</v>
      </c>
      <c r="F40" t="s">
        <v>26</v>
      </c>
      <c r="G40" s="6">
        <v>2850.56</v>
      </c>
      <c r="H40" t="s">
        <v>30</v>
      </c>
      <c r="I40" s="7">
        <v>0.13</v>
      </c>
      <c r="J40" t="s">
        <v>27</v>
      </c>
      <c r="K40" t="s">
        <v>19</v>
      </c>
    </row>
    <row r="41" spans="1:11" x14ac:dyDescent="0.25">
      <c r="A41" s="1" t="s">
        <v>67</v>
      </c>
      <c r="B41" t="s">
        <v>33</v>
      </c>
      <c r="C41" t="s">
        <v>21</v>
      </c>
      <c r="D41" s="6">
        <f t="shared" si="0"/>
        <v>146310.54079999999</v>
      </c>
      <c r="E41" s="5">
        <v>34</v>
      </c>
      <c r="F41" t="s">
        <v>35</v>
      </c>
      <c r="G41" s="6">
        <v>5184.6400000000003</v>
      </c>
      <c r="H41" t="s">
        <v>30</v>
      </c>
      <c r="I41" s="7">
        <v>0.17</v>
      </c>
      <c r="J41" t="s">
        <v>18</v>
      </c>
      <c r="K41" t="s">
        <v>19</v>
      </c>
    </row>
    <row r="42" spans="1:11" x14ac:dyDescent="0.25">
      <c r="A42" s="1" t="s">
        <v>69</v>
      </c>
      <c r="B42" t="s">
        <v>24</v>
      </c>
      <c r="C42" t="s">
        <v>15</v>
      </c>
      <c r="D42" s="6">
        <f t="shared" si="0"/>
        <v>1856.67</v>
      </c>
      <c r="E42" s="5">
        <v>1</v>
      </c>
      <c r="F42" t="s">
        <v>26</v>
      </c>
      <c r="G42" s="6">
        <v>2475.56</v>
      </c>
      <c r="H42" t="s">
        <v>30</v>
      </c>
      <c r="I42" s="7">
        <v>0.25</v>
      </c>
      <c r="J42" t="s">
        <v>18</v>
      </c>
      <c r="K42" t="s">
        <v>19</v>
      </c>
    </row>
    <row r="43" spans="1:11" x14ac:dyDescent="0.25">
      <c r="A43" s="1" t="s">
        <v>67</v>
      </c>
      <c r="B43" t="s">
        <v>33</v>
      </c>
      <c r="C43" t="s">
        <v>21</v>
      </c>
      <c r="D43" s="6">
        <f t="shared" si="0"/>
        <v>118026.37439999999</v>
      </c>
      <c r="E43" s="5">
        <v>27</v>
      </c>
      <c r="F43" t="s">
        <v>29</v>
      </c>
      <c r="G43" s="6">
        <v>4967.4399999999996</v>
      </c>
      <c r="H43" t="s">
        <v>30</v>
      </c>
      <c r="I43" s="7">
        <v>0.12</v>
      </c>
      <c r="J43" t="s">
        <v>18</v>
      </c>
      <c r="K43" t="s">
        <v>19</v>
      </c>
    </row>
    <row r="44" spans="1:11" x14ac:dyDescent="0.25">
      <c r="A44" s="1" t="s">
        <v>67</v>
      </c>
      <c r="B44" t="s">
        <v>38</v>
      </c>
      <c r="C44" t="s">
        <v>34</v>
      </c>
      <c r="D44" s="6">
        <f t="shared" si="0"/>
        <v>30606.211999999996</v>
      </c>
      <c r="E44" s="5">
        <v>13</v>
      </c>
      <c r="F44" t="s">
        <v>26</v>
      </c>
      <c r="G44" s="6">
        <v>2504.6</v>
      </c>
      <c r="H44" t="s">
        <v>17</v>
      </c>
      <c r="I44" s="7">
        <v>0.06</v>
      </c>
      <c r="J44" t="s">
        <v>27</v>
      </c>
      <c r="K44" t="s">
        <v>19</v>
      </c>
    </row>
    <row r="45" spans="1:11" x14ac:dyDescent="0.25">
      <c r="A45" s="1" t="s">
        <v>67</v>
      </c>
      <c r="B45" t="s">
        <v>38</v>
      </c>
      <c r="C45" t="s">
        <v>21</v>
      </c>
      <c r="D45" s="6">
        <f t="shared" si="0"/>
        <v>55828.899000000005</v>
      </c>
      <c r="E45" s="5">
        <v>21</v>
      </c>
      <c r="F45" t="s">
        <v>35</v>
      </c>
      <c r="G45" s="6">
        <v>2953.91</v>
      </c>
      <c r="H45" t="s">
        <v>30</v>
      </c>
      <c r="I45" s="7">
        <v>0.1</v>
      </c>
      <c r="J45" t="s">
        <v>27</v>
      </c>
      <c r="K45" t="s">
        <v>22</v>
      </c>
    </row>
    <row r="46" spans="1:11" x14ac:dyDescent="0.25">
      <c r="A46" s="1" t="s">
        <v>67</v>
      </c>
      <c r="B46" t="s">
        <v>38</v>
      </c>
      <c r="C46" t="s">
        <v>34</v>
      </c>
      <c r="D46" s="6">
        <f t="shared" si="0"/>
        <v>131042.07</v>
      </c>
      <c r="E46" s="5">
        <v>36</v>
      </c>
      <c r="F46" t="s">
        <v>26</v>
      </c>
      <c r="G46" s="6">
        <v>4853.41</v>
      </c>
      <c r="H46" t="s">
        <v>17</v>
      </c>
      <c r="I46" s="7">
        <v>0.25</v>
      </c>
      <c r="J46" t="s">
        <v>31</v>
      </c>
      <c r="K46" t="s">
        <v>22</v>
      </c>
    </row>
    <row r="47" spans="1:11" x14ac:dyDescent="0.25">
      <c r="A47" s="1" t="s">
        <v>67</v>
      </c>
      <c r="B47" t="s">
        <v>38</v>
      </c>
      <c r="C47" t="s">
        <v>25</v>
      </c>
      <c r="D47" s="6">
        <f t="shared" si="0"/>
        <v>11346.123600000001</v>
      </c>
      <c r="E47" s="5">
        <v>7</v>
      </c>
      <c r="F47" t="s">
        <v>35</v>
      </c>
      <c r="G47" s="6">
        <v>2001.08</v>
      </c>
      <c r="H47" t="s">
        <v>30</v>
      </c>
      <c r="I47" s="7">
        <v>0.19</v>
      </c>
      <c r="J47" t="s">
        <v>27</v>
      </c>
      <c r="K47" t="s">
        <v>19</v>
      </c>
    </row>
    <row r="48" spans="1:11" x14ac:dyDescent="0.25">
      <c r="A48" s="1" t="s">
        <v>66</v>
      </c>
      <c r="B48" t="s">
        <v>24</v>
      </c>
      <c r="C48" t="s">
        <v>34</v>
      </c>
      <c r="D48" s="6">
        <f t="shared" si="0"/>
        <v>1887.4856000000002</v>
      </c>
      <c r="E48" s="5">
        <v>2</v>
      </c>
      <c r="F48" t="s">
        <v>29</v>
      </c>
      <c r="G48" s="6">
        <v>1225.6400000000001</v>
      </c>
      <c r="H48" t="s">
        <v>17</v>
      </c>
      <c r="I48" s="7">
        <v>0.23</v>
      </c>
      <c r="J48" t="s">
        <v>31</v>
      </c>
      <c r="K48" t="s">
        <v>19</v>
      </c>
    </row>
    <row r="49" spans="1:11" x14ac:dyDescent="0.25">
      <c r="A49" s="1" t="s">
        <v>67</v>
      </c>
      <c r="B49" t="s">
        <v>42</v>
      </c>
      <c r="C49" t="s">
        <v>15</v>
      </c>
      <c r="D49" s="6">
        <f t="shared" si="0"/>
        <v>5636.2592000000004</v>
      </c>
      <c r="E49" s="5">
        <v>13</v>
      </c>
      <c r="F49" t="s">
        <v>16</v>
      </c>
      <c r="G49" s="6">
        <v>492.68</v>
      </c>
      <c r="H49" t="s">
        <v>30</v>
      </c>
      <c r="I49" s="7">
        <v>0.12</v>
      </c>
      <c r="J49" t="s">
        <v>31</v>
      </c>
      <c r="K49" t="s">
        <v>22</v>
      </c>
    </row>
    <row r="50" spans="1:11" x14ac:dyDescent="0.25">
      <c r="A50" s="1" t="s">
        <v>67</v>
      </c>
      <c r="B50" t="s">
        <v>42</v>
      </c>
      <c r="C50" t="s">
        <v>34</v>
      </c>
      <c r="D50" s="6">
        <f t="shared" si="0"/>
        <v>9684.9</v>
      </c>
      <c r="E50" s="5">
        <v>6</v>
      </c>
      <c r="F50" t="s">
        <v>26</v>
      </c>
      <c r="G50" s="6">
        <v>2152.1999999999998</v>
      </c>
      <c r="H50" t="s">
        <v>30</v>
      </c>
      <c r="I50" s="7">
        <v>0.25</v>
      </c>
      <c r="J50" t="s">
        <v>27</v>
      </c>
      <c r="K50" t="s">
        <v>22</v>
      </c>
    </row>
    <row r="51" spans="1:11" x14ac:dyDescent="0.25">
      <c r="A51" s="1" t="s">
        <v>67</v>
      </c>
      <c r="B51" t="s">
        <v>14</v>
      </c>
      <c r="C51" t="s">
        <v>25</v>
      </c>
      <c r="D51" s="6">
        <f t="shared" si="0"/>
        <v>135696.62699999954</v>
      </c>
      <c r="E51" s="5">
        <v>45</v>
      </c>
      <c r="F51" t="s">
        <v>29</v>
      </c>
      <c r="G51" s="6">
        <v>3045.9399999999901</v>
      </c>
      <c r="H51" t="s">
        <v>30</v>
      </c>
      <c r="I51" s="7">
        <v>0.01</v>
      </c>
      <c r="J51" t="s">
        <v>18</v>
      </c>
      <c r="K51" t="s">
        <v>22</v>
      </c>
    </row>
    <row r="52" spans="1:11" x14ac:dyDescent="0.25">
      <c r="A52" s="1" t="s">
        <v>67</v>
      </c>
      <c r="B52" t="s">
        <v>33</v>
      </c>
      <c r="C52" t="s">
        <v>15</v>
      </c>
      <c r="D52" s="6">
        <f t="shared" si="0"/>
        <v>13279.7574</v>
      </c>
      <c r="E52" s="5">
        <v>19</v>
      </c>
      <c r="F52" t="s">
        <v>16</v>
      </c>
      <c r="G52" s="6">
        <v>768.06</v>
      </c>
      <c r="H52" t="s">
        <v>17</v>
      </c>
      <c r="I52" s="7">
        <v>0.09</v>
      </c>
      <c r="J52" t="s">
        <v>31</v>
      </c>
      <c r="K52" t="s">
        <v>19</v>
      </c>
    </row>
    <row r="53" spans="1:11" x14ac:dyDescent="0.25">
      <c r="A53" s="1" t="s">
        <v>67</v>
      </c>
      <c r="B53" t="s">
        <v>38</v>
      </c>
      <c r="C53" t="s">
        <v>25</v>
      </c>
      <c r="D53" s="6">
        <f t="shared" si="0"/>
        <v>70250.22</v>
      </c>
      <c r="E53" s="5">
        <v>38</v>
      </c>
      <c r="F53" t="s">
        <v>16</v>
      </c>
      <c r="G53" s="6">
        <v>1848.69</v>
      </c>
      <c r="H53" t="s">
        <v>17</v>
      </c>
      <c r="I53" s="7">
        <v>0</v>
      </c>
      <c r="J53" t="s">
        <v>27</v>
      </c>
      <c r="K53" t="s">
        <v>22</v>
      </c>
    </row>
    <row r="54" spans="1:11" x14ac:dyDescent="0.25">
      <c r="A54" s="1" t="s">
        <v>67</v>
      </c>
      <c r="B54" t="s">
        <v>38</v>
      </c>
      <c r="C54" t="s">
        <v>34</v>
      </c>
      <c r="D54" s="6">
        <f t="shared" si="0"/>
        <v>71421.189999999813</v>
      </c>
      <c r="E54" s="5">
        <v>20</v>
      </c>
      <c r="F54" t="s">
        <v>29</v>
      </c>
      <c r="G54" s="6">
        <v>3759.0099999999902</v>
      </c>
      <c r="H54" t="s">
        <v>17</v>
      </c>
      <c r="I54" s="7">
        <v>0.05</v>
      </c>
      <c r="J54" t="s">
        <v>31</v>
      </c>
      <c r="K54" t="s">
        <v>22</v>
      </c>
    </row>
    <row r="55" spans="1:11" x14ac:dyDescent="0.25">
      <c r="A55" s="1" t="s">
        <v>67</v>
      </c>
      <c r="B55" t="s">
        <v>33</v>
      </c>
      <c r="C55" t="s">
        <v>21</v>
      </c>
      <c r="D55" s="6">
        <f t="shared" si="0"/>
        <v>39146.078399999999</v>
      </c>
      <c r="E55" s="5">
        <v>13</v>
      </c>
      <c r="F55" t="s">
        <v>16</v>
      </c>
      <c r="G55" s="6">
        <v>3860.56</v>
      </c>
      <c r="H55" t="s">
        <v>17</v>
      </c>
      <c r="I55" s="7">
        <v>0.22</v>
      </c>
      <c r="J55" t="s">
        <v>18</v>
      </c>
      <c r="K55" t="s">
        <v>22</v>
      </c>
    </row>
    <row r="56" spans="1:11" x14ac:dyDescent="0.25">
      <c r="A56" s="1" t="s">
        <v>67</v>
      </c>
      <c r="B56" t="s">
        <v>14</v>
      </c>
      <c r="C56" t="s">
        <v>34</v>
      </c>
      <c r="D56" s="6">
        <f t="shared" si="0"/>
        <v>115389.533</v>
      </c>
      <c r="E56" s="5">
        <v>31</v>
      </c>
      <c r="F56" t="s">
        <v>16</v>
      </c>
      <c r="G56" s="6">
        <v>4711.7</v>
      </c>
      <c r="H56" t="s">
        <v>30</v>
      </c>
      <c r="I56" s="7">
        <v>0.21</v>
      </c>
      <c r="J56" t="s">
        <v>18</v>
      </c>
      <c r="K56" t="s">
        <v>22</v>
      </c>
    </row>
    <row r="57" spans="1:11" x14ac:dyDescent="0.25">
      <c r="A57" s="1" t="s">
        <v>67</v>
      </c>
      <c r="B57" t="s">
        <v>14</v>
      </c>
      <c r="C57" t="s">
        <v>34</v>
      </c>
      <c r="D57" s="6">
        <f t="shared" si="0"/>
        <v>10891.272000000001</v>
      </c>
      <c r="E57" s="5">
        <v>21</v>
      </c>
      <c r="F57" t="s">
        <v>29</v>
      </c>
      <c r="G57" s="6">
        <v>648.29</v>
      </c>
      <c r="H57" t="s">
        <v>17</v>
      </c>
      <c r="I57" s="7">
        <v>0.2</v>
      </c>
      <c r="J57" t="s">
        <v>27</v>
      </c>
      <c r="K57" t="s">
        <v>19</v>
      </c>
    </row>
    <row r="58" spans="1:11" x14ac:dyDescent="0.25">
      <c r="A58" s="1" t="s">
        <v>67</v>
      </c>
      <c r="B58" t="s">
        <v>14</v>
      </c>
      <c r="C58" t="s">
        <v>15</v>
      </c>
      <c r="D58" s="6">
        <f t="shared" si="0"/>
        <v>30255.302</v>
      </c>
      <c r="E58" s="5">
        <v>11</v>
      </c>
      <c r="F58" t="s">
        <v>29</v>
      </c>
      <c r="G58" s="6">
        <v>3929.26</v>
      </c>
      <c r="H58" t="s">
        <v>30</v>
      </c>
      <c r="I58" s="7">
        <v>0.3</v>
      </c>
      <c r="J58" t="s">
        <v>31</v>
      </c>
      <c r="K58" t="s">
        <v>22</v>
      </c>
    </row>
    <row r="59" spans="1:11" x14ac:dyDescent="0.25">
      <c r="A59" s="1" t="s">
        <v>67</v>
      </c>
      <c r="B59" t="s">
        <v>33</v>
      </c>
      <c r="C59" t="s">
        <v>15</v>
      </c>
      <c r="D59" s="6">
        <f t="shared" si="0"/>
        <v>8597.1455999999998</v>
      </c>
      <c r="E59" s="5">
        <v>12</v>
      </c>
      <c r="F59" t="s">
        <v>16</v>
      </c>
      <c r="G59" s="6">
        <v>746.28</v>
      </c>
      <c r="H59" t="s">
        <v>17</v>
      </c>
      <c r="I59" s="7">
        <v>0.04</v>
      </c>
      <c r="J59" t="s">
        <v>27</v>
      </c>
      <c r="K59" t="s">
        <v>22</v>
      </c>
    </row>
    <row r="60" spans="1:11" x14ac:dyDescent="0.25">
      <c r="A60" s="1" t="s">
        <v>70</v>
      </c>
      <c r="B60" t="s">
        <v>24</v>
      </c>
      <c r="C60" t="s">
        <v>15</v>
      </c>
      <c r="D60" s="6">
        <f t="shared" si="0"/>
        <v>2448.8585999999996</v>
      </c>
      <c r="E60" s="5">
        <v>9</v>
      </c>
      <c r="F60" t="s">
        <v>35</v>
      </c>
      <c r="G60" s="6">
        <v>316.39</v>
      </c>
      <c r="H60" t="s">
        <v>30</v>
      </c>
      <c r="I60" s="7">
        <v>0.14000000000000001</v>
      </c>
      <c r="J60" t="s">
        <v>31</v>
      </c>
      <c r="K60" t="s">
        <v>19</v>
      </c>
    </row>
    <row r="61" spans="1:11" x14ac:dyDescent="0.25">
      <c r="A61" s="1" t="s">
        <v>67</v>
      </c>
      <c r="B61" t="s">
        <v>33</v>
      </c>
      <c r="C61" t="s">
        <v>34</v>
      </c>
      <c r="D61" s="6">
        <f t="shared" si="0"/>
        <v>58984.056000000004</v>
      </c>
      <c r="E61" s="5">
        <v>20</v>
      </c>
      <c r="F61" t="s">
        <v>16</v>
      </c>
      <c r="G61" s="6">
        <v>3880.53</v>
      </c>
      <c r="H61" t="s">
        <v>30</v>
      </c>
      <c r="I61" s="7">
        <v>0.24</v>
      </c>
      <c r="J61" t="s">
        <v>27</v>
      </c>
      <c r="K61" t="s">
        <v>19</v>
      </c>
    </row>
    <row r="62" spans="1:11" x14ac:dyDescent="0.25">
      <c r="A62" s="1" t="s">
        <v>67</v>
      </c>
      <c r="B62" t="s">
        <v>38</v>
      </c>
      <c r="C62" t="s">
        <v>21</v>
      </c>
      <c r="D62" s="6">
        <f t="shared" si="0"/>
        <v>50955.062400000003</v>
      </c>
      <c r="E62" s="5">
        <v>16</v>
      </c>
      <c r="F62" t="s">
        <v>29</v>
      </c>
      <c r="G62" s="6">
        <v>3883.77</v>
      </c>
      <c r="H62" t="s">
        <v>17</v>
      </c>
      <c r="I62" s="7">
        <v>0.18</v>
      </c>
      <c r="J62" t="s">
        <v>27</v>
      </c>
      <c r="K62" t="s">
        <v>22</v>
      </c>
    </row>
    <row r="63" spans="1:11" x14ac:dyDescent="0.25">
      <c r="A63" s="1" t="s">
        <v>67</v>
      </c>
      <c r="B63" t="s">
        <v>33</v>
      </c>
      <c r="C63" t="s">
        <v>15</v>
      </c>
      <c r="D63" s="6">
        <f t="shared" si="0"/>
        <v>212818.64670000001</v>
      </c>
      <c r="E63" s="5">
        <v>41</v>
      </c>
      <c r="F63" t="s">
        <v>29</v>
      </c>
      <c r="G63" s="6">
        <v>5243.13</v>
      </c>
      <c r="H63" t="s">
        <v>30</v>
      </c>
      <c r="I63" s="7">
        <v>0.01</v>
      </c>
      <c r="J63" t="s">
        <v>31</v>
      </c>
      <c r="K63" t="s">
        <v>19</v>
      </c>
    </row>
    <row r="64" spans="1:11" x14ac:dyDescent="0.25">
      <c r="A64" s="1" t="s">
        <v>66</v>
      </c>
      <c r="B64" t="s">
        <v>24</v>
      </c>
      <c r="C64" t="s">
        <v>25</v>
      </c>
      <c r="D64" s="6">
        <f t="shared" si="0"/>
        <v>2522.3251999999998</v>
      </c>
      <c r="E64" s="5">
        <v>4</v>
      </c>
      <c r="F64" t="s">
        <v>26</v>
      </c>
      <c r="G64" s="6">
        <v>863.81</v>
      </c>
      <c r="H64" t="s">
        <v>30</v>
      </c>
      <c r="I64" s="7">
        <v>0.27</v>
      </c>
      <c r="J64" t="s">
        <v>31</v>
      </c>
      <c r="K64" t="s">
        <v>22</v>
      </c>
    </row>
    <row r="65" spans="1:11" x14ac:dyDescent="0.25">
      <c r="A65" s="1" t="s">
        <v>67</v>
      </c>
      <c r="B65" t="s">
        <v>38</v>
      </c>
      <c r="C65" t="s">
        <v>21</v>
      </c>
      <c r="D65" s="6">
        <f t="shared" si="0"/>
        <v>13479.36</v>
      </c>
      <c r="E65" s="5">
        <v>16</v>
      </c>
      <c r="F65" t="s">
        <v>26</v>
      </c>
      <c r="G65" s="6">
        <v>842.46</v>
      </c>
      <c r="H65" t="s">
        <v>30</v>
      </c>
      <c r="I65" s="7">
        <v>0</v>
      </c>
      <c r="J65" t="s">
        <v>18</v>
      </c>
      <c r="K65" t="s">
        <v>22</v>
      </c>
    </row>
    <row r="66" spans="1:11" x14ac:dyDescent="0.25">
      <c r="A66" s="1" t="s">
        <v>67</v>
      </c>
      <c r="B66" t="s">
        <v>33</v>
      </c>
      <c r="C66" t="s">
        <v>15</v>
      </c>
      <c r="D66" s="6">
        <f t="shared" ref="D66:D129" si="1">(Unit_Price*Qty_Sold)*(1-Discount)</f>
        <v>141316.86239999998</v>
      </c>
      <c r="E66" s="5">
        <v>36</v>
      </c>
      <c r="F66" t="s">
        <v>26</v>
      </c>
      <c r="G66" s="6">
        <v>5165.09</v>
      </c>
      <c r="H66" t="s">
        <v>17</v>
      </c>
      <c r="I66" s="7">
        <v>0.24</v>
      </c>
      <c r="J66" t="s">
        <v>18</v>
      </c>
      <c r="K66" t="s">
        <v>19</v>
      </c>
    </row>
    <row r="67" spans="1:11" x14ac:dyDescent="0.25">
      <c r="A67" s="1" t="s">
        <v>72</v>
      </c>
      <c r="B67" t="s">
        <v>24</v>
      </c>
      <c r="C67" t="s">
        <v>25</v>
      </c>
      <c r="D67" s="6">
        <f t="shared" si="1"/>
        <v>2774.9744000000001</v>
      </c>
      <c r="E67" s="5">
        <v>2</v>
      </c>
      <c r="F67" t="s">
        <v>16</v>
      </c>
      <c r="G67" s="6">
        <v>1576.69</v>
      </c>
      <c r="H67" t="s">
        <v>17</v>
      </c>
      <c r="I67" s="7">
        <v>0.12</v>
      </c>
      <c r="J67" t="s">
        <v>31</v>
      </c>
      <c r="K67" t="s">
        <v>19</v>
      </c>
    </row>
    <row r="68" spans="1:11" x14ac:dyDescent="0.25">
      <c r="A68" s="1" t="s">
        <v>67</v>
      </c>
      <c r="B68" t="s">
        <v>33</v>
      </c>
      <c r="C68" t="s">
        <v>15</v>
      </c>
      <c r="D68" s="6">
        <f t="shared" si="1"/>
        <v>81249.818999999989</v>
      </c>
      <c r="E68" s="5">
        <v>21</v>
      </c>
      <c r="F68" t="s">
        <v>26</v>
      </c>
      <c r="G68" s="6">
        <v>3988.7</v>
      </c>
      <c r="H68" t="s">
        <v>30</v>
      </c>
      <c r="I68" s="7">
        <v>0.03</v>
      </c>
      <c r="J68" t="s">
        <v>27</v>
      </c>
      <c r="K68" t="s">
        <v>22</v>
      </c>
    </row>
    <row r="69" spans="1:11" x14ac:dyDescent="0.25">
      <c r="A69" s="1" t="s">
        <v>67</v>
      </c>
      <c r="B69" t="s">
        <v>42</v>
      </c>
      <c r="C69" t="s">
        <v>34</v>
      </c>
      <c r="D69" s="6">
        <f t="shared" si="1"/>
        <v>124352.54520000001</v>
      </c>
      <c r="E69" s="5">
        <v>39</v>
      </c>
      <c r="F69" t="s">
        <v>16</v>
      </c>
      <c r="G69" s="6">
        <v>3465.79</v>
      </c>
      <c r="H69" t="s">
        <v>30</v>
      </c>
      <c r="I69" s="7">
        <v>0.08</v>
      </c>
      <c r="J69" t="s">
        <v>18</v>
      </c>
      <c r="K69" t="s">
        <v>19</v>
      </c>
    </row>
    <row r="70" spans="1:11" x14ac:dyDescent="0.25">
      <c r="A70" s="1" t="s">
        <v>67</v>
      </c>
      <c r="B70" t="s">
        <v>33</v>
      </c>
      <c r="C70" t="s">
        <v>25</v>
      </c>
      <c r="D70" s="6">
        <f t="shared" si="1"/>
        <v>27949.188800000004</v>
      </c>
      <c r="E70" s="5">
        <v>16</v>
      </c>
      <c r="F70" t="s">
        <v>29</v>
      </c>
      <c r="G70" s="6">
        <v>2211.17</v>
      </c>
      <c r="H70" t="s">
        <v>17</v>
      </c>
      <c r="I70" s="7">
        <v>0.21</v>
      </c>
      <c r="J70" t="s">
        <v>27</v>
      </c>
      <c r="K70" t="s">
        <v>19</v>
      </c>
    </row>
    <row r="71" spans="1:11" x14ac:dyDescent="0.25">
      <c r="A71" s="1" t="s">
        <v>67</v>
      </c>
      <c r="B71" t="s">
        <v>33</v>
      </c>
      <c r="C71" t="s">
        <v>15</v>
      </c>
      <c r="D71" s="6">
        <f t="shared" si="1"/>
        <v>80626.241500000004</v>
      </c>
      <c r="E71" s="5">
        <v>31</v>
      </c>
      <c r="F71" t="s">
        <v>35</v>
      </c>
      <c r="G71" s="6">
        <v>3133.55</v>
      </c>
      <c r="H71" t="s">
        <v>17</v>
      </c>
      <c r="I71" s="7">
        <v>0.17</v>
      </c>
      <c r="J71" t="s">
        <v>27</v>
      </c>
      <c r="K71" t="s">
        <v>22</v>
      </c>
    </row>
    <row r="72" spans="1:11" x14ac:dyDescent="0.25">
      <c r="A72" s="1" t="s">
        <v>67</v>
      </c>
      <c r="B72" t="s">
        <v>42</v>
      </c>
      <c r="C72" t="s">
        <v>21</v>
      </c>
      <c r="D72" s="6">
        <f t="shared" si="1"/>
        <v>36912.603000000003</v>
      </c>
      <c r="E72" s="5">
        <v>35</v>
      </c>
      <c r="F72" t="s">
        <v>35</v>
      </c>
      <c r="G72" s="6">
        <v>1352.11</v>
      </c>
      <c r="H72" t="s">
        <v>17</v>
      </c>
      <c r="I72" s="7">
        <v>0.22</v>
      </c>
      <c r="J72" t="s">
        <v>27</v>
      </c>
      <c r="K72" t="s">
        <v>22</v>
      </c>
    </row>
    <row r="73" spans="1:11" x14ac:dyDescent="0.25">
      <c r="A73" s="1" t="s">
        <v>67</v>
      </c>
      <c r="B73" t="s">
        <v>42</v>
      </c>
      <c r="C73" t="s">
        <v>15</v>
      </c>
      <c r="D73" s="6">
        <f t="shared" si="1"/>
        <v>85375.987200000003</v>
      </c>
      <c r="E73" s="5">
        <v>28</v>
      </c>
      <c r="F73" t="s">
        <v>16</v>
      </c>
      <c r="G73" s="6">
        <v>4234.92</v>
      </c>
      <c r="H73" t="s">
        <v>30</v>
      </c>
      <c r="I73" s="7">
        <v>0.28000000000000003</v>
      </c>
      <c r="J73" t="s">
        <v>31</v>
      </c>
      <c r="K73" t="s">
        <v>22</v>
      </c>
    </row>
    <row r="74" spans="1:11" x14ac:dyDescent="0.25">
      <c r="A74" s="1" t="s">
        <v>67</v>
      </c>
      <c r="B74" t="s">
        <v>38</v>
      </c>
      <c r="C74" t="s">
        <v>15</v>
      </c>
      <c r="D74" s="6">
        <f t="shared" si="1"/>
        <v>11303.391599999999</v>
      </c>
      <c r="E74" s="5">
        <v>6</v>
      </c>
      <c r="F74" t="s">
        <v>29</v>
      </c>
      <c r="G74" s="6">
        <v>2116.7399999999998</v>
      </c>
      <c r="H74" t="s">
        <v>30</v>
      </c>
      <c r="I74" s="7">
        <v>0.11</v>
      </c>
      <c r="J74" t="s">
        <v>31</v>
      </c>
      <c r="K74" t="s">
        <v>19</v>
      </c>
    </row>
    <row r="75" spans="1:11" x14ac:dyDescent="0.25">
      <c r="A75" s="1" t="s">
        <v>66</v>
      </c>
      <c r="B75" t="s">
        <v>24</v>
      </c>
      <c r="C75" t="s">
        <v>34</v>
      </c>
      <c r="D75" s="6">
        <f t="shared" si="1"/>
        <v>2908.5723000000003</v>
      </c>
      <c r="E75" s="5">
        <v>1</v>
      </c>
      <c r="F75" t="s">
        <v>29</v>
      </c>
      <c r="G75" s="6">
        <v>3590.83</v>
      </c>
      <c r="H75" t="s">
        <v>30</v>
      </c>
      <c r="I75" s="7">
        <v>0.19</v>
      </c>
      <c r="J75" t="s">
        <v>27</v>
      </c>
      <c r="K75" t="s">
        <v>22</v>
      </c>
    </row>
    <row r="76" spans="1:11" x14ac:dyDescent="0.25">
      <c r="A76" s="1" t="s">
        <v>69</v>
      </c>
      <c r="B76" t="s">
        <v>24</v>
      </c>
      <c r="C76" t="s">
        <v>25</v>
      </c>
      <c r="D76" s="6">
        <f t="shared" si="1"/>
        <v>2924.0819999999999</v>
      </c>
      <c r="E76" s="5">
        <v>23</v>
      </c>
      <c r="F76" t="s">
        <v>29</v>
      </c>
      <c r="G76" s="6">
        <v>181.62</v>
      </c>
      <c r="H76" t="s">
        <v>17</v>
      </c>
      <c r="I76" s="7">
        <v>0.3</v>
      </c>
      <c r="J76" t="s">
        <v>27</v>
      </c>
      <c r="K76" t="s">
        <v>22</v>
      </c>
    </row>
    <row r="77" spans="1:11" x14ac:dyDescent="0.25">
      <c r="A77" s="1" t="s">
        <v>67</v>
      </c>
      <c r="B77" t="s">
        <v>14</v>
      </c>
      <c r="C77" t="s">
        <v>25</v>
      </c>
      <c r="D77" s="6">
        <f t="shared" si="1"/>
        <v>13377.2688</v>
      </c>
      <c r="E77" s="5">
        <v>8</v>
      </c>
      <c r="F77" t="s">
        <v>16</v>
      </c>
      <c r="G77" s="6">
        <v>1798.02</v>
      </c>
      <c r="H77" t="s">
        <v>30</v>
      </c>
      <c r="I77" s="7">
        <v>7.0000000000000007E-2</v>
      </c>
      <c r="J77" t="s">
        <v>31</v>
      </c>
      <c r="K77" t="s">
        <v>19</v>
      </c>
    </row>
    <row r="78" spans="1:11" x14ac:dyDescent="0.25">
      <c r="A78" s="1" t="s">
        <v>67</v>
      </c>
      <c r="B78" t="s">
        <v>42</v>
      </c>
      <c r="C78" t="s">
        <v>25</v>
      </c>
      <c r="D78" s="6">
        <f t="shared" si="1"/>
        <v>122657.47200000001</v>
      </c>
      <c r="E78" s="5">
        <v>29</v>
      </c>
      <c r="F78" t="s">
        <v>35</v>
      </c>
      <c r="G78" s="6">
        <v>4405.8</v>
      </c>
      <c r="H78" t="s">
        <v>30</v>
      </c>
      <c r="I78" s="7">
        <v>0.04</v>
      </c>
      <c r="J78" t="s">
        <v>27</v>
      </c>
      <c r="K78" t="s">
        <v>19</v>
      </c>
    </row>
    <row r="79" spans="1:11" x14ac:dyDescent="0.25">
      <c r="A79" s="1" t="s">
        <v>63</v>
      </c>
      <c r="B79" t="s">
        <v>24</v>
      </c>
      <c r="C79" t="s">
        <v>15</v>
      </c>
      <c r="D79" s="6">
        <f t="shared" si="1"/>
        <v>3299.1035000000002</v>
      </c>
      <c r="E79" s="5">
        <v>5</v>
      </c>
      <c r="F79" t="s">
        <v>16</v>
      </c>
      <c r="G79" s="6">
        <v>856.91</v>
      </c>
      <c r="H79" t="s">
        <v>17</v>
      </c>
      <c r="I79" s="7">
        <v>0.23</v>
      </c>
      <c r="J79" t="s">
        <v>27</v>
      </c>
      <c r="K79" t="s">
        <v>22</v>
      </c>
    </row>
    <row r="80" spans="1:11" x14ac:dyDescent="0.25">
      <c r="A80" s="1" t="s">
        <v>67</v>
      </c>
      <c r="B80" t="s">
        <v>33</v>
      </c>
      <c r="C80" t="s">
        <v>15</v>
      </c>
      <c r="D80" s="6">
        <f t="shared" si="1"/>
        <v>5709.0579000000007</v>
      </c>
      <c r="E80" s="5">
        <v>3</v>
      </c>
      <c r="F80" t="s">
        <v>16</v>
      </c>
      <c r="G80" s="6">
        <v>2091.23</v>
      </c>
      <c r="H80" t="s">
        <v>17</v>
      </c>
      <c r="I80" s="7">
        <v>0.09</v>
      </c>
      <c r="J80" t="s">
        <v>18</v>
      </c>
      <c r="K80" t="s">
        <v>22</v>
      </c>
    </row>
    <row r="81" spans="1:11" x14ac:dyDescent="0.25">
      <c r="A81" s="1" t="s">
        <v>67</v>
      </c>
      <c r="B81" t="s">
        <v>38</v>
      </c>
      <c r="C81" t="s">
        <v>15</v>
      </c>
      <c r="D81" s="6">
        <f t="shared" si="1"/>
        <v>16637.615999999998</v>
      </c>
      <c r="E81" s="5">
        <v>6</v>
      </c>
      <c r="F81" t="s">
        <v>16</v>
      </c>
      <c r="G81" s="6">
        <v>3081.04</v>
      </c>
      <c r="H81" t="s">
        <v>17</v>
      </c>
      <c r="I81" s="7">
        <v>0.1</v>
      </c>
      <c r="J81" t="s">
        <v>27</v>
      </c>
      <c r="K81" t="s">
        <v>22</v>
      </c>
    </row>
    <row r="82" spans="1:11" x14ac:dyDescent="0.25">
      <c r="A82" s="1" t="s">
        <v>67</v>
      </c>
      <c r="B82" t="s">
        <v>33</v>
      </c>
      <c r="C82" t="s">
        <v>25</v>
      </c>
      <c r="D82" s="6">
        <f t="shared" si="1"/>
        <v>121680.573</v>
      </c>
      <c r="E82" s="5">
        <v>35</v>
      </c>
      <c r="F82" t="s">
        <v>16</v>
      </c>
      <c r="G82" s="6">
        <v>4188.66</v>
      </c>
      <c r="H82" t="s">
        <v>30</v>
      </c>
      <c r="I82" s="7">
        <v>0.17</v>
      </c>
      <c r="J82" t="s">
        <v>27</v>
      </c>
      <c r="K82" t="s">
        <v>19</v>
      </c>
    </row>
    <row r="83" spans="1:11" x14ac:dyDescent="0.25">
      <c r="A83" s="1" t="s">
        <v>67</v>
      </c>
      <c r="B83" t="s">
        <v>14</v>
      </c>
      <c r="C83" t="s">
        <v>25</v>
      </c>
      <c r="D83" s="6">
        <f t="shared" si="1"/>
        <v>23957.452799999999</v>
      </c>
      <c r="E83" s="5">
        <v>12</v>
      </c>
      <c r="F83" t="s">
        <v>35</v>
      </c>
      <c r="G83" s="6">
        <v>2079.64</v>
      </c>
      <c r="H83" t="s">
        <v>17</v>
      </c>
      <c r="I83" s="7">
        <v>0.04</v>
      </c>
      <c r="J83" t="s">
        <v>18</v>
      </c>
      <c r="K83" t="s">
        <v>19</v>
      </c>
    </row>
    <row r="84" spans="1:11" x14ac:dyDescent="0.25">
      <c r="A84" s="1" t="s">
        <v>67</v>
      </c>
      <c r="B84" t="s">
        <v>38</v>
      </c>
      <c r="C84" t="s">
        <v>25</v>
      </c>
      <c r="D84" s="6">
        <f t="shared" si="1"/>
        <v>4136.7743999999648</v>
      </c>
      <c r="E84" s="5">
        <v>4</v>
      </c>
      <c r="F84" t="s">
        <v>35</v>
      </c>
      <c r="G84" s="6">
        <v>1175.21999999999</v>
      </c>
      <c r="H84" t="s">
        <v>17</v>
      </c>
      <c r="I84" s="7">
        <v>0.12</v>
      </c>
      <c r="J84" t="s">
        <v>27</v>
      </c>
      <c r="K84" t="s">
        <v>22</v>
      </c>
    </row>
    <row r="85" spans="1:11" x14ac:dyDescent="0.25">
      <c r="A85" s="1" t="s">
        <v>67</v>
      </c>
      <c r="B85" t="s">
        <v>14</v>
      </c>
      <c r="C85" t="s">
        <v>34</v>
      </c>
      <c r="D85" s="6">
        <f t="shared" si="1"/>
        <v>115926.03</v>
      </c>
      <c r="E85" s="5">
        <v>38</v>
      </c>
      <c r="F85" t="s">
        <v>26</v>
      </c>
      <c r="G85" s="6">
        <v>3081.5</v>
      </c>
      <c r="H85" t="s">
        <v>30</v>
      </c>
      <c r="I85" s="7">
        <v>0.01</v>
      </c>
      <c r="J85" t="s">
        <v>27</v>
      </c>
      <c r="K85" t="s">
        <v>19</v>
      </c>
    </row>
    <row r="86" spans="1:11" x14ac:dyDescent="0.25">
      <c r="A86" s="1" t="s">
        <v>67</v>
      </c>
      <c r="B86" t="s">
        <v>14</v>
      </c>
      <c r="C86" t="s">
        <v>34</v>
      </c>
      <c r="D86" s="6">
        <f t="shared" si="1"/>
        <v>90993.742399999988</v>
      </c>
      <c r="E86" s="5">
        <v>22</v>
      </c>
      <c r="F86" t="s">
        <v>35</v>
      </c>
      <c r="G86" s="6">
        <v>4647.28</v>
      </c>
      <c r="H86" t="s">
        <v>17</v>
      </c>
      <c r="I86" s="7">
        <v>0.11</v>
      </c>
      <c r="J86" t="s">
        <v>18</v>
      </c>
      <c r="K86" t="s">
        <v>19</v>
      </c>
    </row>
    <row r="87" spans="1:11" x14ac:dyDescent="0.25">
      <c r="A87" s="1" t="s">
        <v>67</v>
      </c>
      <c r="B87" t="s">
        <v>14</v>
      </c>
      <c r="C87" t="s">
        <v>15</v>
      </c>
      <c r="D87" s="6">
        <f t="shared" si="1"/>
        <v>198621.34199999998</v>
      </c>
      <c r="E87" s="5">
        <v>45</v>
      </c>
      <c r="F87" t="s">
        <v>16</v>
      </c>
      <c r="G87" s="6">
        <v>4695.54</v>
      </c>
      <c r="H87" t="s">
        <v>17</v>
      </c>
      <c r="I87" s="7">
        <v>0.06</v>
      </c>
      <c r="J87" t="s">
        <v>18</v>
      </c>
      <c r="K87" t="s">
        <v>22</v>
      </c>
    </row>
    <row r="88" spans="1:11" x14ac:dyDescent="0.25">
      <c r="A88" s="1" t="s">
        <v>67</v>
      </c>
      <c r="B88" t="s">
        <v>42</v>
      </c>
      <c r="C88" t="s">
        <v>15</v>
      </c>
      <c r="D88" s="6">
        <f t="shared" si="1"/>
        <v>114452.35200000001</v>
      </c>
      <c r="E88" s="5">
        <v>48</v>
      </c>
      <c r="F88" t="s">
        <v>29</v>
      </c>
      <c r="G88" s="6">
        <v>2872.8</v>
      </c>
      <c r="H88" t="s">
        <v>30</v>
      </c>
      <c r="I88" s="7">
        <v>0.17</v>
      </c>
      <c r="J88" t="s">
        <v>18</v>
      </c>
      <c r="K88" t="s">
        <v>19</v>
      </c>
    </row>
    <row r="89" spans="1:11" x14ac:dyDescent="0.25">
      <c r="A89" s="1" t="s">
        <v>67</v>
      </c>
      <c r="B89" t="s">
        <v>42</v>
      </c>
      <c r="C89" t="s">
        <v>25</v>
      </c>
      <c r="D89" s="6">
        <f t="shared" si="1"/>
        <v>42208.119799999993</v>
      </c>
      <c r="E89" s="5">
        <v>11</v>
      </c>
      <c r="F89" t="s">
        <v>26</v>
      </c>
      <c r="G89" s="6">
        <v>3915.41</v>
      </c>
      <c r="H89" t="s">
        <v>17</v>
      </c>
      <c r="I89" s="7">
        <v>0.02</v>
      </c>
      <c r="J89" t="s">
        <v>18</v>
      </c>
      <c r="K89" t="s">
        <v>19</v>
      </c>
    </row>
    <row r="90" spans="1:11" x14ac:dyDescent="0.25">
      <c r="A90" s="1" t="s">
        <v>71</v>
      </c>
      <c r="B90" t="s">
        <v>24</v>
      </c>
      <c r="C90" t="s">
        <v>25</v>
      </c>
      <c r="D90" s="6">
        <f t="shared" si="1"/>
        <v>3318.7446</v>
      </c>
      <c r="E90" s="5">
        <v>9</v>
      </c>
      <c r="F90" t="s">
        <v>29</v>
      </c>
      <c r="G90" s="6">
        <v>498.31</v>
      </c>
      <c r="H90" t="s">
        <v>30</v>
      </c>
      <c r="I90" s="7">
        <v>0.26</v>
      </c>
      <c r="J90" t="s">
        <v>18</v>
      </c>
      <c r="K90" t="s">
        <v>22</v>
      </c>
    </row>
    <row r="91" spans="1:11" x14ac:dyDescent="0.25">
      <c r="A91" s="1" t="s">
        <v>71</v>
      </c>
      <c r="B91" t="s">
        <v>24</v>
      </c>
      <c r="C91" t="s">
        <v>34</v>
      </c>
      <c r="D91" s="6">
        <f t="shared" si="1"/>
        <v>3390.3296</v>
      </c>
      <c r="E91" s="5">
        <v>4</v>
      </c>
      <c r="F91" t="s">
        <v>16</v>
      </c>
      <c r="G91" s="6">
        <v>1115.24</v>
      </c>
      <c r="H91" t="s">
        <v>30</v>
      </c>
      <c r="I91" s="7">
        <v>0.24</v>
      </c>
      <c r="J91" t="s">
        <v>31</v>
      </c>
      <c r="K91" t="s">
        <v>22</v>
      </c>
    </row>
    <row r="92" spans="1:11" x14ac:dyDescent="0.25">
      <c r="A92" s="1" t="s">
        <v>65</v>
      </c>
      <c r="B92" t="s">
        <v>24</v>
      </c>
      <c r="C92" t="s">
        <v>21</v>
      </c>
      <c r="D92" s="6">
        <f t="shared" si="1"/>
        <v>3414.6</v>
      </c>
      <c r="E92" s="5">
        <v>6</v>
      </c>
      <c r="F92" t="s">
        <v>26</v>
      </c>
      <c r="G92" s="6">
        <v>677.5</v>
      </c>
      <c r="H92" t="s">
        <v>17</v>
      </c>
      <c r="I92" s="7">
        <v>0.16</v>
      </c>
      <c r="J92" t="s">
        <v>31</v>
      </c>
      <c r="K92" t="s">
        <v>19</v>
      </c>
    </row>
    <row r="93" spans="1:11" x14ac:dyDescent="0.25">
      <c r="A93" s="1" t="s">
        <v>67</v>
      </c>
      <c r="B93" t="s">
        <v>14</v>
      </c>
      <c r="C93" t="s">
        <v>34</v>
      </c>
      <c r="D93" s="6">
        <f t="shared" si="1"/>
        <v>122608.58400000002</v>
      </c>
      <c r="E93" s="5">
        <v>46</v>
      </c>
      <c r="F93" t="s">
        <v>26</v>
      </c>
      <c r="G93" s="6">
        <v>2961.56</v>
      </c>
      <c r="H93" t="s">
        <v>17</v>
      </c>
      <c r="I93" s="7">
        <v>0.1</v>
      </c>
      <c r="J93" t="s">
        <v>18</v>
      </c>
      <c r="K93" t="s">
        <v>19</v>
      </c>
    </row>
    <row r="94" spans="1:11" x14ac:dyDescent="0.25">
      <c r="A94" s="1" t="s">
        <v>67</v>
      </c>
      <c r="B94" t="s">
        <v>14</v>
      </c>
      <c r="C94" t="s">
        <v>34</v>
      </c>
      <c r="D94" s="6">
        <f t="shared" si="1"/>
        <v>27432.48</v>
      </c>
      <c r="E94" s="5">
        <v>30</v>
      </c>
      <c r="F94" t="s">
        <v>16</v>
      </c>
      <c r="G94" s="6">
        <v>1143.02</v>
      </c>
      <c r="H94" t="s">
        <v>17</v>
      </c>
      <c r="I94" s="7">
        <v>0.2</v>
      </c>
      <c r="J94" t="s">
        <v>31</v>
      </c>
      <c r="K94" t="s">
        <v>19</v>
      </c>
    </row>
    <row r="95" spans="1:11" x14ac:dyDescent="0.25">
      <c r="A95" s="1" t="s">
        <v>67</v>
      </c>
      <c r="B95" t="s">
        <v>33</v>
      </c>
      <c r="C95" t="s">
        <v>21</v>
      </c>
      <c r="D95" s="6">
        <f t="shared" si="1"/>
        <v>51687</v>
      </c>
      <c r="E95" s="5">
        <v>25</v>
      </c>
      <c r="F95" t="s">
        <v>26</v>
      </c>
      <c r="G95" s="6">
        <v>2584.35</v>
      </c>
      <c r="H95" t="s">
        <v>17</v>
      </c>
      <c r="I95" s="7">
        <v>0.2</v>
      </c>
      <c r="J95" t="s">
        <v>18</v>
      </c>
      <c r="K95" t="s">
        <v>19</v>
      </c>
    </row>
    <row r="96" spans="1:11" x14ac:dyDescent="0.25">
      <c r="A96" s="1" t="s">
        <v>67</v>
      </c>
      <c r="B96" t="s">
        <v>38</v>
      </c>
      <c r="C96" t="s">
        <v>21</v>
      </c>
      <c r="D96" s="6">
        <f t="shared" si="1"/>
        <v>143719.68599999999</v>
      </c>
      <c r="E96" s="5">
        <v>38</v>
      </c>
      <c r="F96" t="s">
        <v>26</v>
      </c>
      <c r="G96" s="6">
        <v>3820.3</v>
      </c>
      <c r="H96" t="s">
        <v>17</v>
      </c>
      <c r="I96" s="7">
        <v>0.01</v>
      </c>
      <c r="J96" t="s">
        <v>31</v>
      </c>
      <c r="K96" t="s">
        <v>22</v>
      </c>
    </row>
    <row r="97" spans="1:11" x14ac:dyDescent="0.25">
      <c r="A97" s="1" t="s">
        <v>67</v>
      </c>
      <c r="B97" t="s">
        <v>33</v>
      </c>
      <c r="C97" t="s">
        <v>34</v>
      </c>
      <c r="D97" s="6">
        <f t="shared" si="1"/>
        <v>38136.815200000005</v>
      </c>
      <c r="E97" s="5">
        <v>47</v>
      </c>
      <c r="F97" t="s">
        <v>29</v>
      </c>
      <c r="G97" s="6">
        <v>1067.6600000000001</v>
      </c>
      <c r="H97" t="s">
        <v>30</v>
      </c>
      <c r="I97" s="7">
        <v>0.24</v>
      </c>
      <c r="J97" t="s">
        <v>18</v>
      </c>
      <c r="K97" t="s">
        <v>22</v>
      </c>
    </row>
    <row r="98" spans="1:11" x14ac:dyDescent="0.25">
      <c r="A98" s="1" t="s">
        <v>67</v>
      </c>
      <c r="B98" t="s">
        <v>14</v>
      </c>
      <c r="C98" t="s">
        <v>34</v>
      </c>
      <c r="D98" s="6">
        <f t="shared" si="1"/>
        <v>130156.67279999971</v>
      </c>
      <c r="E98" s="5">
        <v>38</v>
      </c>
      <c r="F98" t="s">
        <v>16</v>
      </c>
      <c r="G98" s="6">
        <v>4506.8099999999904</v>
      </c>
      <c r="H98" t="s">
        <v>17</v>
      </c>
      <c r="I98" s="7">
        <v>0.24</v>
      </c>
      <c r="J98" t="s">
        <v>27</v>
      </c>
      <c r="K98" t="s">
        <v>19</v>
      </c>
    </row>
    <row r="99" spans="1:11" x14ac:dyDescent="0.25">
      <c r="A99" s="1" t="s">
        <v>67</v>
      </c>
      <c r="B99" t="s">
        <v>38</v>
      </c>
      <c r="C99" t="s">
        <v>15</v>
      </c>
      <c r="D99" s="6">
        <f t="shared" si="1"/>
        <v>27576.063900000001</v>
      </c>
      <c r="E99" s="5">
        <v>27</v>
      </c>
      <c r="F99" t="s">
        <v>35</v>
      </c>
      <c r="G99" s="6">
        <v>1399.09</v>
      </c>
      <c r="H99" t="s">
        <v>17</v>
      </c>
      <c r="I99" s="7">
        <v>0.27</v>
      </c>
      <c r="J99" t="s">
        <v>31</v>
      </c>
      <c r="K99" t="s">
        <v>19</v>
      </c>
    </row>
    <row r="100" spans="1:11" x14ac:dyDescent="0.25">
      <c r="A100" s="1" t="s">
        <v>67</v>
      </c>
      <c r="B100" t="s">
        <v>38</v>
      </c>
      <c r="C100" t="s">
        <v>15</v>
      </c>
      <c r="D100" s="6">
        <f t="shared" si="1"/>
        <v>44188.316200000001</v>
      </c>
      <c r="E100" s="5">
        <v>14</v>
      </c>
      <c r="F100" t="s">
        <v>16</v>
      </c>
      <c r="G100" s="6">
        <v>4323.71</v>
      </c>
      <c r="H100" t="s">
        <v>17</v>
      </c>
      <c r="I100" s="7">
        <v>0.27</v>
      </c>
      <c r="J100" t="s">
        <v>31</v>
      </c>
      <c r="K100" t="s">
        <v>19</v>
      </c>
    </row>
    <row r="101" spans="1:11" x14ac:dyDescent="0.25">
      <c r="A101" s="1" t="s">
        <v>67</v>
      </c>
      <c r="B101" t="s">
        <v>14</v>
      </c>
      <c r="C101" t="s">
        <v>34</v>
      </c>
      <c r="D101" s="6">
        <f t="shared" si="1"/>
        <v>76737.108799999987</v>
      </c>
      <c r="E101" s="5">
        <v>29</v>
      </c>
      <c r="F101" t="s">
        <v>29</v>
      </c>
      <c r="G101" s="6">
        <v>3481.72</v>
      </c>
      <c r="H101" t="s">
        <v>30</v>
      </c>
      <c r="I101" s="7">
        <v>0.24</v>
      </c>
      <c r="J101" t="s">
        <v>27</v>
      </c>
      <c r="K101" t="s">
        <v>22</v>
      </c>
    </row>
    <row r="102" spans="1:11" x14ac:dyDescent="0.25">
      <c r="A102" s="1" t="s">
        <v>62</v>
      </c>
      <c r="B102" t="s">
        <v>14</v>
      </c>
      <c r="C102" t="s">
        <v>15</v>
      </c>
      <c r="D102" s="6">
        <f t="shared" si="1"/>
        <v>4377.0636000000013</v>
      </c>
      <c r="E102" s="5">
        <v>18</v>
      </c>
      <c r="F102" t="s">
        <v>16</v>
      </c>
      <c r="G102" s="6">
        <v>267.22000000000003</v>
      </c>
      <c r="H102" t="s">
        <v>17</v>
      </c>
      <c r="I102" s="7">
        <v>0.09</v>
      </c>
      <c r="J102" t="s">
        <v>18</v>
      </c>
      <c r="K102" t="s">
        <v>19</v>
      </c>
    </row>
    <row r="103" spans="1:11" x14ac:dyDescent="0.25">
      <c r="A103" s="1" t="s">
        <v>62</v>
      </c>
      <c r="B103" t="s">
        <v>33</v>
      </c>
      <c r="C103" t="s">
        <v>21</v>
      </c>
      <c r="D103" s="6">
        <f t="shared" si="1"/>
        <v>27972.572800000002</v>
      </c>
      <c r="E103" s="5">
        <v>32</v>
      </c>
      <c r="F103" t="s">
        <v>26</v>
      </c>
      <c r="G103" s="6">
        <v>1106.51</v>
      </c>
      <c r="H103" t="s">
        <v>30</v>
      </c>
      <c r="I103" s="7">
        <v>0.21</v>
      </c>
      <c r="J103" t="s">
        <v>18</v>
      </c>
      <c r="K103" t="s">
        <v>19</v>
      </c>
    </row>
    <row r="104" spans="1:11" x14ac:dyDescent="0.25">
      <c r="A104" s="1" t="s">
        <v>71</v>
      </c>
      <c r="B104" t="s">
        <v>24</v>
      </c>
      <c r="C104" t="s">
        <v>34</v>
      </c>
      <c r="D104" s="6">
        <f t="shared" si="1"/>
        <v>3584.2014000000008</v>
      </c>
      <c r="E104" s="5">
        <v>6</v>
      </c>
      <c r="F104" t="s">
        <v>29</v>
      </c>
      <c r="G104" s="6">
        <v>737.49</v>
      </c>
      <c r="H104" t="s">
        <v>17</v>
      </c>
      <c r="I104" s="7">
        <v>0.19</v>
      </c>
      <c r="J104" t="s">
        <v>31</v>
      </c>
      <c r="K104" t="s">
        <v>22</v>
      </c>
    </row>
    <row r="105" spans="1:11" x14ac:dyDescent="0.25">
      <c r="A105" s="1" t="s">
        <v>62</v>
      </c>
      <c r="B105" t="s">
        <v>33</v>
      </c>
      <c r="C105" t="s">
        <v>25</v>
      </c>
      <c r="D105" s="6">
        <f t="shared" si="1"/>
        <v>10045.2312</v>
      </c>
      <c r="E105" s="5">
        <v>9</v>
      </c>
      <c r="F105" t="s">
        <v>35</v>
      </c>
      <c r="G105" s="6">
        <v>1550.19</v>
      </c>
      <c r="H105" t="s">
        <v>30</v>
      </c>
      <c r="I105" s="7">
        <v>0.28000000000000003</v>
      </c>
      <c r="J105" t="s">
        <v>31</v>
      </c>
      <c r="K105" t="s">
        <v>22</v>
      </c>
    </row>
    <row r="106" spans="1:11" x14ac:dyDescent="0.25">
      <c r="A106" s="1" t="s">
        <v>66</v>
      </c>
      <c r="B106" t="s">
        <v>24</v>
      </c>
      <c r="C106" t="s">
        <v>15</v>
      </c>
      <c r="D106" s="6">
        <f t="shared" si="1"/>
        <v>3974.8401000000003</v>
      </c>
      <c r="E106" s="5">
        <v>9</v>
      </c>
      <c r="F106" t="s">
        <v>29</v>
      </c>
      <c r="G106" s="6">
        <v>446.11</v>
      </c>
      <c r="H106" t="s">
        <v>30</v>
      </c>
      <c r="I106" s="7">
        <v>0.01</v>
      </c>
      <c r="J106" t="s">
        <v>27</v>
      </c>
      <c r="K106" t="s">
        <v>22</v>
      </c>
    </row>
    <row r="107" spans="1:11" x14ac:dyDescent="0.25">
      <c r="A107" s="1" t="s">
        <v>71</v>
      </c>
      <c r="B107" t="s">
        <v>24</v>
      </c>
      <c r="C107" t="s">
        <v>21</v>
      </c>
      <c r="D107" s="6">
        <f t="shared" si="1"/>
        <v>4178.0705999999991</v>
      </c>
      <c r="E107" s="5">
        <v>6</v>
      </c>
      <c r="F107" t="s">
        <v>29</v>
      </c>
      <c r="G107" s="6">
        <v>838.97</v>
      </c>
      <c r="H107" t="s">
        <v>30</v>
      </c>
      <c r="I107" s="7">
        <v>0.17</v>
      </c>
      <c r="J107" t="s">
        <v>31</v>
      </c>
      <c r="K107" t="s">
        <v>19</v>
      </c>
    </row>
    <row r="108" spans="1:11" x14ac:dyDescent="0.25">
      <c r="A108" s="1" t="s">
        <v>62</v>
      </c>
      <c r="B108" t="s">
        <v>14</v>
      </c>
      <c r="C108" t="s">
        <v>34</v>
      </c>
      <c r="D108" s="6">
        <f t="shared" si="1"/>
        <v>98864.960999999996</v>
      </c>
      <c r="E108" s="5">
        <v>26</v>
      </c>
      <c r="F108" t="s">
        <v>26</v>
      </c>
      <c r="G108" s="6">
        <v>4002.63</v>
      </c>
      <c r="H108" t="s">
        <v>30</v>
      </c>
      <c r="I108" s="7">
        <v>0.05</v>
      </c>
      <c r="J108" t="s">
        <v>31</v>
      </c>
      <c r="K108" t="s">
        <v>22</v>
      </c>
    </row>
    <row r="109" spans="1:11" x14ac:dyDescent="0.25">
      <c r="A109" s="1" t="s">
        <v>62</v>
      </c>
      <c r="B109" t="s">
        <v>42</v>
      </c>
      <c r="C109" t="s">
        <v>21</v>
      </c>
      <c r="D109" s="6">
        <f t="shared" si="1"/>
        <v>30970.731499999994</v>
      </c>
      <c r="E109" s="5">
        <v>19</v>
      </c>
      <c r="F109" t="s">
        <v>35</v>
      </c>
      <c r="G109" s="6">
        <v>1715.83</v>
      </c>
      <c r="H109" t="s">
        <v>30</v>
      </c>
      <c r="I109" s="7">
        <v>0.05</v>
      </c>
      <c r="J109" t="s">
        <v>31</v>
      </c>
      <c r="K109" t="s">
        <v>22</v>
      </c>
    </row>
    <row r="110" spans="1:11" x14ac:dyDescent="0.25">
      <c r="A110" s="1" t="s">
        <v>62</v>
      </c>
      <c r="B110" t="s">
        <v>42</v>
      </c>
      <c r="C110" t="s">
        <v>34</v>
      </c>
      <c r="D110" s="6">
        <f t="shared" si="1"/>
        <v>55763.568000000007</v>
      </c>
      <c r="E110" s="5">
        <v>24</v>
      </c>
      <c r="F110" t="s">
        <v>29</v>
      </c>
      <c r="G110" s="6">
        <v>2766.05</v>
      </c>
      <c r="H110" t="s">
        <v>17</v>
      </c>
      <c r="I110" s="7">
        <v>0.16</v>
      </c>
      <c r="J110" t="s">
        <v>27</v>
      </c>
      <c r="K110" t="s">
        <v>22</v>
      </c>
    </row>
    <row r="111" spans="1:11" x14ac:dyDescent="0.25">
      <c r="A111" s="1" t="s">
        <v>62</v>
      </c>
      <c r="B111" t="s">
        <v>42</v>
      </c>
      <c r="C111" t="s">
        <v>25</v>
      </c>
      <c r="D111" s="6">
        <f t="shared" si="1"/>
        <v>116996.56499999999</v>
      </c>
      <c r="E111" s="5">
        <v>49</v>
      </c>
      <c r="F111" t="s">
        <v>16</v>
      </c>
      <c r="G111" s="6">
        <v>3183.58</v>
      </c>
      <c r="H111" t="s">
        <v>17</v>
      </c>
      <c r="I111" s="7">
        <v>0.25</v>
      </c>
      <c r="J111" t="s">
        <v>18</v>
      </c>
      <c r="K111" t="s">
        <v>22</v>
      </c>
    </row>
    <row r="112" spans="1:11" x14ac:dyDescent="0.25">
      <c r="A112" s="1" t="s">
        <v>71</v>
      </c>
      <c r="B112" t="s">
        <v>24</v>
      </c>
      <c r="C112" t="s">
        <v>15</v>
      </c>
      <c r="D112" s="6">
        <f t="shared" si="1"/>
        <v>4656.7975999999999</v>
      </c>
      <c r="E112" s="5">
        <v>2</v>
      </c>
      <c r="F112" t="s">
        <v>29</v>
      </c>
      <c r="G112" s="6">
        <v>2558.6799999999998</v>
      </c>
      <c r="H112" t="s">
        <v>30</v>
      </c>
      <c r="I112" s="7">
        <v>0.09</v>
      </c>
      <c r="J112" t="s">
        <v>31</v>
      </c>
      <c r="K112" t="s">
        <v>22</v>
      </c>
    </row>
    <row r="113" spans="1:13" x14ac:dyDescent="0.25">
      <c r="A113" s="1" t="s">
        <v>62</v>
      </c>
      <c r="B113" t="s">
        <v>38</v>
      </c>
      <c r="C113" t="s">
        <v>21</v>
      </c>
      <c r="D113" s="6">
        <f t="shared" si="1"/>
        <v>23371.126800000002</v>
      </c>
      <c r="E113" s="5">
        <v>12</v>
      </c>
      <c r="F113" t="s">
        <v>29</v>
      </c>
      <c r="G113" s="6">
        <v>2743.09</v>
      </c>
      <c r="H113" t="s">
        <v>30</v>
      </c>
      <c r="I113" s="7">
        <v>0.28999999999999998</v>
      </c>
      <c r="J113" t="s">
        <v>31</v>
      </c>
      <c r="K113" t="s">
        <v>22</v>
      </c>
    </row>
    <row r="114" spans="1:13" x14ac:dyDescent="0.25">
      <c r="A114" s="1" t="s">
        <v>62</v>
      </c>
      <c r="B114" t="s">
        <v>14</v>
      </c>
      <c r="C114" t="s">
        <v>34</v>
      </c>
      <c r="D114" s="6">
        <f t="shared" si="1"/>
        <v>52730.8992</v>
      </c>
      <c r="E114" s="5">
        <v>24</v>
      </c>
      <c r="F114" t="s">
        <v>35</v>
      </c>
      <c r="G114" s="6">
        <v>2241.96</v>
      </c>
      <c r="H114" t="s">
        <v>17</v>
      </c>
      <c r="I114" s="7">
        <v>0.02</v>
      </c>
      <c r="J114" t="s">
        <v>31</v>
      </c>
      <c r="K114" t="s">
        <v>19</v>
      </c>
    </row>
    <row r="115" spans="1:13" x14ac:dyDescent="0.25">
      <c r="A115" s="1" t="s">
        <v>62</v>
      </c>
      <c r="B115" t="s">
        <v>14</v>
      </c>
      <c r="C115" t="s">
        <v>21</v>
      </c>
      <c r="D115" s="6">
        <f t="shared" si="1"/>
        <v>3243.5745000000002</v>
      </c>
      <c r="E115" s="5">
        <v>3</v>
      </c>
      <c r="F115" t="s">
        <v>26</v>
      </c>
      <c r="G115" s="6">
        <v>1271.99</v>
      </c>
      <c r="H115" t="s">
        <v>30</v>
      </c>
      <c r="I115" s="7">
        <v>0.15</v>
      </c>
      <c r="J115" t="s">
        <v>31</v>
      </c>
      <c r="K115" t="s">
        <v>19</v>
      </c>
    </row>
    <row r="116" spans="1:13" x14ac:dyDescent="0.25">
      <c r="A116" s="1" t="s">
        <v>62</v>
      </c>
      <c r="B116" t="s">
        <v>33</v>
      </c>
      <c r="C116" t="s">
        <v>21</v>
      </c>
      <c r="D116" s="6">
        <f t="shared" si="1"/>
        <v>11309.953200000002</v>
      </c>
      <c r="E116" s="5">
        <v>26</v>
      </c>
      <c r="F116" t="s">
        <v>26</v>
      </c>
      <c r="G116" s="6">
        <v>557.69000000000005</v>
      </c>
      <c r="H116" t="s">
        <v>30</v>
      </c>
      <c r="I116" s="7">
        <v>0.22</v>
      </c>
      <c r="J116" t="s">
        <v>31</v>
      </c>
      <c r="K116" t="s">
        <v>22</v>
      </c>
    </row>
    <row r="117" spans="1:13" x14ac:dyDescent="0.25">
      <c r="A117" s="1" t="s">
        <v>62</v>
      </c>
      <c r="B117" t="s">
        <v>14</v>
      </c>
      <c r="C117" t="s">
        <v>15</v>
      </c>
      <c r="D117" s="6">
        <f t="shared" si="1"/>
        <v>59445.117600000005</v>
      </c>
      <c r="E117" s="5">
        <v>22</v>
      </c>
      <c r="F117" t="s">
        <v>29</v>
      </c>
      <c r="G117" s="6">
        <v>3651.42</v>
      </c>
      <c r="H117" t="s">
        <v>17</v>
      </c>
      <c r="I117" s="7">
        <v>0.26</v>
      </c>
      <c r="J117" t="s">
        <v>27</v>
      </c>
      <c r="K117" t="s">
        <v>19</v>
      </c>
    </row>
    <row r="118" spans="1:13" x14ac:dyDescent="0.25">
      <c r="A118" s="1" t="s">
        <v>67</v>
      </c>
      <c r="B118" t="s">
        <v>24</v>
      </c>
      <c r="C118" t="s">
        <v>21</v>
      </c>
      <c r="D118" s="6">
        <f t="shared" si="1"/>
        <v>4795.837199999999</v>
      </c>
      <c r="E118" s="5">
        <v>28</v>
      </c>
      <c r="F118" t="s">
        <v>16</v>
      </c>
      <c r="G118" s="6">
        <v>234.63</v>
      </c>
      <c r="H118" t="s">
        <v>30</v>
      </c>
      <c r="I118" s="7">
        <v>0.27</v>
      </c>
      <c r="J118" t="s">
        <v>27</v>
      </c>
      <c r="K118" t="s">
        <v>22</v>
      </c>
      <c r="M118" s="10"/>
    </row>
    <row r="119" spans="1:13" x14ac:dyDescent="0.25">
      <c r="A119" s="1" t="s">
        <v>62</v>
      </c>
      <c r="B119" t="s">
        <v>42</v>
      </c>
      <c r="C119" t="s">
        <v>25</v>
      </c>
      <c r="D119" s="6">
        <f t="shared" si="1"/>
        <v>72386.717399999994</v>
      </c>
      <c r="E119" s="5">
        <v>34</v>
      </c>
      <c r="F119" t="s">
        <v>29</v>
      </c>
      <c r="G119" s="6">
        <v>2289.27</v>
      </c>
      <c r="H119" t="s">
        <v>17</v>
      </c>
      <c r="I119" s="7">
        <v>7.0000000000000007E-2</v>
      </c>
      <c r="J119" t="s">
        <v>27</v>
      </c>
      <c r="K119" t="s">
        <v>22</v>
      </c>
      <c r="M119">
        <v>18118.672000000002</v>
      </c>
    </row>
    <row r="120" spans="1:13" x14ac:dyDescent="0.25">
      <c r="A120" s="1" t="s">
        <v>62</v>
      </c>
      <c r="B120" t="s">
        <v>38</v>
      </c>
      <c r="C120" t="s">
        <v>15</v>
      </c>
      <c r="D120" s="6">
        <f t="shared" si="1"/>
        <v>42305.281199999998</v>
      </c>
      <c r="E120" s="5">
        <v>18</v>
      </c>
      <c r="F120" t="s">
        <v>16</v>
      </c>
      <c r="G120" s="6">
        <v>3219.58</v>
      </c>
      <c r="H120" t="s">
        <v>30</v>
      </c>
      <c r="I120" s="7">
        <v>0.27</v>
      </c>
      <c r="J120" t="s">
        <v>27</v>
      </c>
      <c r="K120" t="s">
        <v>22</v>
      </c>
      <c r="M120">
        <v>18257.84</v>
      </c>
    </row>
    <row r="121" spans="1:13" x14ac:dyDescent="0.25">
      <c r="A121" s="1" t="s">
        <v>63</v>
      </c>
      <c r="B121" t="s">
        <v>24</v>
      </c>
      <c r="C121" t="s">
        <v>34</v>
      </c>
      <c r="D121" s="6">
        <f t="shared" si="1"/>
        <v>4936.902</v>
      </c>
      <c r="E121" s="5">
        <v>2</v>
      </c>
      <c r="F121" t="s">
        <v>35</v>
      </c>
      <c r="G121" s="6">
        <v>2904.06</v>
      </c>
      <c r="H121" t="s">
        <v>30</v>
      </c>
      <c r="I121" s="7">
        <v>0.15</v>
      </c>
      <c r="J121" t="s">
        <v>27</v>
      </c>
      <c r="K121" t="s">
        <v>19</v>
      </c>
      <c r="M121">
        <v>18627.723999999853</v>
      </c>
    </row>
    <row r="122" spans="1:13" x14ac:dyDescent="0.25">
      <c r="A122" s="1" t="s">
        <v>62</v>
      </c>
      <c r="B122" t="s">
        <v>42</v>
      </c>
      <c r="C122" t="s">
        <v>15</v>
      </c>
      <c r="D122" s="6">
        <f t="shared" si="1"/>
        <v>91289.008599999986</v>
      </c>
      <c r="E122" s="5">
        <v>43</v>
      </c>
      <c r="F122" t="s">
        <v>26</v>
      </c>
      <c r="G122" s="6">
        <v>2188.66</v>
      </c>
      <c r="H122" t="s">
        <v>17</v>
      </c>
      <c r="I122" s="7">
        <v>0.03</v>
      </c>
      <c r="J122" t="s">
        <v>31</v>
      </c>
      <c r="K122" t="s">
        <v>22</v>
      </c>
      <c r="M122">
        <v>27046.656000000003</v>
      </c>
    </row>
    <row r="123" spans="1:13" x14ac:dyDescent="0.25">
      <c r="A123" s="1" t="s">
        <v>62</v>
      </c>
      <c r="B123" t="s">
        <v>14</v>
      </c>
      <c r="C123" t="s">
        <v>21</v>
      </c>
      <c r="D123" s="6">
        <f t="shared" si="1"/>
        <v>159246.77709999998</v>
      </c>
      <c r="E123" s="5">
        <v>47</v>
      </c>
      <c r="F123" t="s">
        <v>26</v>
      </c>
      <c r="G123" s="6">
        <v>4641.41</v>
      </c>
      <c r="H123" t="s">
        <v>30</v>
      </c>
      <c r="I123" s="7">
        <v>0.27</v>
      </c>
      <c r="J123" t="s">
        <v>31</v>
      </c>
      <c r="K123" t="s">
        <v>22</v>
      </c>
      <c r="M123">
        <v>37491.926399999684</v>
      </c>
    </row>
    <row r="124" spans="1:13" x14ac:dyDescent="0.25">
      <c r="A124" s="1" t="s">
        <v>62</v>
      </c>
      <c r="B124" t="s">
        <v>33</v>
      </c>
      <c r="C124" t="s">
        <v>15</v>
      </c>
      <c r="D124" s="6">
        <f t="shared" si="1"/>
        <v>2566.9632000000001</v>
      </c>
      <c r="E124" s="5">
        <v>16</v>
      </c>
      <c r="F124" t="s">
        <v>16</v>
      </c>
      <c r="G124" s="6">
        <v>167.12</v>
      </c>
      <c r="H124" t="s">
        <v>30</v>
      </c>
      <c r="I124" s="7">
        <v>0.04</v>
      </c>
      <c r="J124" t="s">
        <v>31</v>
      </c>
      <c r="K124" t="s">
        <v>22</v>
      </c>
      <c r="M124">
        <v>46820.087599999999</v>
      </c>
    </row>
    <row r="125" spans="1:13" x14ac:dyDescent="0.25">
      <c r="A125" s="1" t="s">
        <v>64</v>
      </c>
      <c r="B125" t="s">
        <v>24</v>
      </c>
      <c r="C125" t="s">
        <v>21</v>
      </c>
      <c r="D125" s="6">
        <f t="shared" si="1"/>
        <v>6078.1343999999999</v>
      </c>
      <c r="E125" s="5">
        <v>16</v>
      </c>
      <c r="F125" t="s">
        <v>29</v>
      </c>
      <c r="G125" s="6">
        <v>487.03</v>
      </c>
      <c r="H125" t="s">
        <v>30</v>
      </c>
      <c r="I125" s="7">
        <v>0.22</v>
      </c>
      <c r="J125" t="s">
        <v>27</v>
      </c>
      <c r="K125" t="s">
        <v>22</v>
      </c>
      <c r="M125">
        <v>53186.920399999995</v>
      </c>
    </row>
    <row r="126" spans="1:13" x14ac:dyDescent="0.25">
      <c r="A126" s="1" t="s">
        <v>62</v>
      </c>
      <c r="B126" t="s">
        <v>42</v>
      </c>
      <c r="C126" t="s">
        <v>25</v>
      </c>
      <c r="D126" s="6">
        <f t="shared" si="1"/>
        <v>118952.7248</v>
      </c>
      <c r="E126" s="5">
        <v>46</v>
      </c>
      <c r="F126" t="s">
        <v>29</v>
      </c>
      <c r="G126" s="6">
        <v>2841.68</v>
      </c>
      <c r="H126" t="s">
        <v>30</v>
      </c>
      <c r="I126" s="7">
        <v>0.09</v>
      </c>
      <c r="J126" t="s">
        <v>27</v>
      </c>
      <c r="K126" t="s">
        <v>22</v>
      </c>
      <c r="M126">
        <v>60377.270399999994</v>
      </c>
    </row>
    <row r="127" spans="1:13" x14ac:dyDescent="0.25">
      <c r="A127" s="1" t="s">
        <v>62</v>
      </c>
      <c r="B127" t="s">
        <v>42</v>
      </c>
      <c r="C127" t="s">
        <v>21</v>
      </c>
      <c r="D127" s="6">
        <f t="shared" si="1"/>
        <v>60720.81749999999</v>
      </c>
      <c r="E127" s="5">
        <v>15</v>
      </c>
      <c r="F127" t="s">
        <v>16</v>
      </c>
      <c r="G127" s="6">
        <v>4261.1099999999997</v>
      </c>
      <c r="H127" t="s">
        <v>17</v>
      </c>
      <c r="I127" s="7">
        <v>0.05</v>
      </c>
      <c r="J127" t="s">
        <v>31</v>
      </c>
      <c r="K127" t="s">
        <v>22</v>
      </c>
      <c r="M127">
        <v>79118.24960000001</v>
      </c>
    </row>
    <row r="128" spans="1:13" x14ac:dyDescent="0.25">
      <c r="A128" s="1" t="s">
        <v>62</v>
      </c>
      <c r="B128" t="s">
        <v>33</v>
      </c>
      <c r="C128" t="s">
        <v>34</v>
      </c>
      <c r="D128" s="6">
        <f t="shared" si="1"/>
        <v>3342.0545999999995</v>
      </c>
      <c r="E128" s="5">
        <v>3</v>
      </c>
      <c r="F128" t="s">
        <v>16</v>
      </c>
      <c r="G128" s="6">
        <v>1295.3699999999999</v>
      </c>
      <c r="H128" t="s">
        <v>30</v>
      </c>
      <c r="I128" s="7">
        <v>0.14000000000000001</v>
      </c>
      <c r="J128" t="s">
        <v>18</v>
      </c>
      <c r="K128" t="s">
        <v>22</v>
      </c>
      <c r="M128">
        <v>87769.504199999996</v>
      </c>
    </row>
    <row r="129" spans="1:13" x14ac:dyDescent="0.25">
      <c r="A129" s="1" t="s">
        <v>62</v>
      </c>
      <c r="B129" t="s">
        <v>33</v>
      </c>
      <c r="C129" t="s">
        <v>21</v>
      </c>
      <c r="D129" s="6">
        <f t="shared" si="1"/>
        <v>39230.207999999955</v>
      </c>
      <c r="E129" s="5">
        <v>48</v>
      </c>
      <c r="F129" t="s">
        <v>16</v>
      </c>
      <c r="G129" s="6">
        <v>851.349999999999</v>
      </c>
      <c r="H129" t="s">
        <v>17</v>
      </c>
      <c r="I129" s="7">
        <v>0.04</v>
      </c>
      <c r="J129" t="s">
        <v>27</v>
      </c>
      <c r="K129" t="s">
        <v>19</v>
      </c>
      <c r="M129">
        <v>91465.130400000009</v>
      </c>
    </row>
    <row r="130" spans="1:13" x14ac:dyDescent="0.25">
      <c r="A130" s="1" t="s">
        <v>66</v>
      </c>
      <c r="B130" t="s">
        <v>24</v>
      </c>
      <c r="C130" t="s">
        <v>25</v>
      </c>
      <c r="D130" s="6">
        <f t="shared" ref="D130:D193" si="2">(Unit_Price*Qty_Sold)*(1-Discount)</f>
        <v>6857.8828999999996</v>
      </c>
      <c r="E130" s="5">
        <v>11</v>
      </c>
      <c r="F130" t="s">
        <v>16</v>
      </c>
      <c r="G130" s="6">
        <v>878.09</v>
      </c>
      <c r="H130" t="s">
        <v>30</v>
      </c>
      <c r="I130" s="7">
        <v>0.28999999999999998</v>
      </c>
      <c r="J130" t="s">
        <v>18</v>
      </c>
      <c r="K130" t="s">
        <v>22</v>
      </c>
      <c r="M130">
        <v>116515.74749999976</v>
      </c>
    </row>
    <row r="131" spans="1:13" x14ac:dyDescent="0.25">
      <c r="A131" s="1" t="s">
        <v>62</v>
      </c>
      <c r="B131" t="s">
        <v>14</v>
      </c>
      <c r="C131" t="s">
        <v>15</v>
      </c>
      <c r="D131" s="6">
        <f t="shared" si="2"/>
        <v>157949.0766</v>
      </c>
      <c r="E131" s="5">
        <v>42</v>
      </c>
      <c r="F131" t="s">
        <v>29</v>
      </c>
      <c r="G131" s="6">
        <v>4642.83</v>
      </c>
      <c r="H131" t="s">
        <v>30</v>
      </c>
      <c r="I131" s="7">
        <v>0.19</v>
      </c>
      <c r="J131" t="s">
        <v>31</v>
      </c>
      <c r="K131" t="s">
        <v>19</v>
      </c>
      <c r="M131">
        <v>118496.56000000001</v>
      </c>
    </row>
    <row r="132" spans="1:13" x14ac:dyDescent="0.25">
      <c r="A132" s="1" t="s">
        <v>63</v>
      </c>
      <c r="B132" t="s">
        <v>24</v>
      </c>
      <c r="C132" t="s">
        <v>25</v>
      </c>
      <c r="D132" s="6">
        <f t="shared" si="2"/>
        <v>7003.5545999999995</v>
      </c>
      <c r="E132" s="5">
        <v>17</v>
      </c>
      <c r="F132" t="s">
        <v>29</v>
      </c>
      <c r="G132" s="6">
        <v>438.27</v>
      </c>
      <c r="H132" t="s">
        <v>17</v>
      </c>
      <c r="I132" s="7">
        <v>0.06</v>
      </c>
      <c r="J132" t="s">
        <v>27</v>
      </c>
      <c r="K132" t="s">
        <v>19</v>
      </c>
    </row>
    <row r="133" spans="1:13" x14ac:dyDescent="0.25">
      <c r="A133" s="1" t="s">
        <v>62</v>
      </c>
      <c r="B133" t="s">
        <v>14</v>
      </c>
      <c r="C133" t="s">
        <v>21</v>
      </c>
      <c r="D133" s="6">
        <f t="shared" si="2"/>
        <v>22578.4804</v>
      </c>
      <c r="E133" s="5">
        <v>7</v>
      </c>
      <c r="F133" t="s">
        <v>16</v>
      </c>
      <c r="G133" s="6">
        <v>4358.78</v>
      </c>
      <c r="H133" t="s">
        <v>17</v>
      </c>
      <c r="I133" s="7">
        <v>0.26</v>
      </c>
      <c r="J133" t="s">
        <v>27</v>
      </c>
      <c r="K133" t="s">
        <v>22</v>
      </c>
    </row>
    <row r="134" spans="1:13" x14ac:dyDescent="0.25">
      <c r="A134" s="1" t="s">
        <v>62</v>
      </c>
      <c r="B134" t="s">
        <v>24</v>
      </c>
      <c r="C134" t="s">
        <v>21</v>
      </c>
      <c r="D134" s="6">
        <f t="shared" si="2"/>
        <v>7912.3235999999997</v>
      </c>
      <c r="E134" s="5">
        <v>3</v>
      </c>
      <c r="F134" t="s">
        <v>29</v>
      </c>
      <c r="G134" s="6">
        <v>3177.64</v>
      </c>
      <c r="H134" t="s">
        <v>17</v>
      </c>
      <c r="I134" s="7">
        <v>0.17</v>
      </c>
      <c r="J134" t="s">
        <v>18</v>
      </c>
      <c r="K134" t="s">
        <v>19</v>
      </c>
    </row>
    <row r="135" spans="1:13" x14ac:dyDescent="0.25">
      <c r="A135" s="1" t="s">
        <v>62</v>
      </c>
      <c r="B135" t="s">
        <v>38</v>
      </c>
      <c r="C135" t="s">
        <v>25</v>
      </c>
      <c r="D135" s="6">
        <f t="shared" si="2"/>
        <v>14949.376000000002</v>
      </c>
      <c r="E135" s="5">
        <v>26</v>
      </c>
      <c r="F135" t="s">
        <v>35</v>
      </c>
      <c r="G135" s="6">
        <v>718.72</v>
      </c>
      <c r="H135" t="s">
        <v>30</v>
      </c>
      <c r="I135" s="7">
        <v>0.2</v>
      </c>
      <c r="J135" t="s">
        <v>18</v>
      </c>
      <c r="K135" t="s">
        <v>22</v>
      </c>
    </row>
    <row r="136" spans="1:13" x14ac:dyDescent="0.25">
      <c r="A136" s="1" t="s">
        <v>62</v>
      </c>
      <c r="B136" t="s">
        <v>33</v>
      </c>
      <c r="C136" t="s">
        <v>21</v>
      </c>
      <c r="D136" s="6">
        <f t="shared" si="2"/>
        <v>88743.632400000002</v>
      </c>
      <c r="E136" s="5">
        <v>27</v>
      </c>
      <c r="F136" t="s">
        <v>29</v>
      </c>
      <c r="G136" s="6">
        <v>3572.61</v>
      </c>
      <c r="H136" t="s">
        <v>17</v>
      </c>
      <c r="I136" s="7">
        <v>0.08</v>
      </c>
      <c r="J136" t="s">
        <v>31</v>
      </c>
      <c r="K136" t="s">
        <v>19</v>
      </c>
    </row>
    <row r="137" spans="1:13" x14ac:dyDescent="0.25">
      <c r="A137" s="1" t="s">
        <v>62</v>
      </c>
      <c r="B137" t="s">
        <v>38</v>
      </c>
      <c r="C137" t="s">
        <v>15</v>
      </c>
      <c r="D137" s="6">
        <f t="shared" si="2"/>
        <v>9133.2601999999988</v>
      </c>
      <c r="E137" s="5">
        <v>17</v>
      </c>
      <c r="F137" t="s">
        <v>29</v>
      </c>
      <c r="G137" s="6">
        <v>624.71</v>
      </c>
      <c r="H137" t="s">
        <v>30</v>
      </c>
      <c r="I137" s="7">
        <v>0.14000000000000001</v>
      </c>
      <c r="J137" t="s">
        <v>27</v>
      </c>
      <c r="K137" t="s">
        <v>22</v>
      </c>
    </row>
    <row r="138" spans="1:13" x14ac:dyDescent="0.25">
      <c r="A138" s="1" t="s">
        <v>62</v>
      </c>
      <c r="B138" t="s">
        <v>14</v>
      </c>
      <c r="C138" t="s">
        <v>21</v>
      </c>
      <c r="D138" s="6">
        <f t="shared" si="2"/>
        <v>18168.57</v>
      </c>
      <c r="E138" s="5">
        <v>5</v>
      </c>
      <c r="F138" t="s">
        <v>35</v>
      </c>
      <c r="G138" s="6">
        <v>5191.0200000000004</v>
      </c>
      <c r="H138" t="s">
        <v>30</v>
      </c>
      <c r="I138" s="7">
        <v>0.3</v>
      </c>
      <c r="J138" t="s">
        <v>27</v>
      </c>
      <c r="K138" t="s">
        <v>19</v>
      </c>
    </row>
    <row r="139" spans="1:13" x14ac:dyDescent="0.25">
      <c r="A139" s="1" t="s">
        <v>64</v>
      </c>
      <c r="B139" t="s">
        <v>24</v>
      </c>
      <c r="C139" t="s">
        <v>25</v>
      </c>
      <c r="D139" s="6">
        <f t="shared" si="2"/>
        <v>8314.7084999999242</v>
      </c>
      <c r="E139" s="5">
        <v>9</v>
      </c>
      <c r="F139" t="s">
        <v>16</v>
      </c>
      <c r="G139" s="6">
        <v>1086.8899999999901</v>
      </c>
      <c r="H139" t="s">
        <v>17</v>
      </c>
      <c r="I139" s="7">
        <v>0.15</v>
      </c>
      <c r="J139" t="s">
        <v>18</v>
      </c>
      <c r="K139" t="s">
        <v>22</v>
      </c>
    </row>
    <row r="140" spans="1:13" x14ac:dyDescent="0.25">
      <c r="A140" s="1" t="s">
        <v>66</v>
      </c>
      <c r="B140" t="s">
        <v>24</v>
      </c>
      <c r="C140" t="s">
        <v>21</v>
      </c>
      <c r="D140" s="6">
        <f t="shared" si="2"/>
        <v>8570.908799999972</v>
      </c>
      <c r="E140" s="5">
        <v>4</v>
      </c>
      <c r="F140" t="s">
        <v>16</v>
      </c>
      <c r="G140" s="6">
        <v>2976.0099999999902</v>
      </c>
      <c r="H140" t="s">
        <v>17</v>
      </c>
      <c r="I140" s="7">
        <v>0.28000000000000003</v>
      </c>
      <c r="J140" t="s">
        <v>31</v>
      </c>
      <c r="K140" t="s">
        <v>19</v>
      </c>
    </row>
    <row r="141" spans="1:13" x14ac:dyDescent="0.25">
      <c r="A141" s="1" t="s">
        <v>62</v>
      </c>
      <c r="B141" t="s">
        <v>38</v>
      </c>
      <c r="C141" t="s">
        <v>15</v>
      </c>
      <c r="D141" s="6">
        <f t="shared" si="2"/>
        <v>149128.98000000001</v>
      </c>
      <c r="E141" s="5">
        <v>39</v>
      </c>
      <c r="F141" t="s">
        <v>35</v>
      </c>
      <c r="G141" s="6">
        <v>4345.25</v>
      </c>
      <c r="H141" t="s">
        <v>17</v>
      </c>
      <c r="I141" s="7">
        <v>0.12</v>
      </c>
      <c r="J141" t="s">
        <v>27</v>
      </c>
      <c r="K141" t="s">
        <v>19</v>
      </c>
    </row>
    <row r="142" spans="1:13" x14ac:dyDescent="0.25">
      <c r="A142" s="1" t="s">
        <v>62</v>
      </c>
      <c r="B142" t="s">
        <v>33</v>
      </c>
      <c r="C142" t="s">
        <v>15</v>
      </c>
      <c r="D142" s="6">
        <f t="shared" si="2"/>
        <v>18462.366999999998</v>
      </c>
      <c r="E142" s="5">
        <v>5</v>
      </c>
      <c r="F142" t="s">
        <v>26</v>
      </c>
      <c r="G142" s="6">
        <v>4795.42</v>
      </c>
      <c r="H142" t="s">
        <v>17</v>
      </c>
      <c r="I142" s="7">
        <v>0.23</v>
      </c>
      <c r="J142" t="s">
        <v>18</v>
      </c>
      <c r="K142" t="s">
        <v>19</v>
      </c>
    </row>
    <row r="143" spans="1:13" x14ac:dyDescent="0.25">
      <c r="A143" s="1" t="s">
        <v>62</v>
      </c>
      <c r="B143" t="s">
        <v>33</v>
      </c>
      <c r="C143" t="s">
        <v>15</v>
      </c>
      <c r="D143" s="6">
        <f t="shared" si="2"/>
        <v>138559.13279999999</v>
      </c>
      <c r="E143" s="5">
        <v>44</v>
      </c>
      <c r="F143" t="s">
        <v>29</v>
      </c>
      <c r="G143" s="6">
        <v>3578.49</v>
      </c>
      <c r="H143" t="s">
        <v>17</v>
      </c>
      <c r="I143" s="7">
        <v>0.12</v>
      </c>
      <c r="J143" t="s">
        <v>18</v>
      </c>
      <c r="K143" t="s">
        <v>19</v>
      </c>
    </row>
    <row r="144" spans="1:13" x14ac:dyDescent="0.25">
      <c r="A144" s="1" t="s">
        <v>62</v>
      </c>
      <c r="B144" t="s">
        <v>42</v>
      </c>
      <c r="C144" t="s">
        <v>34</v>
      </c>
      <c r="D144" s="6">
        <f t="shared" si="2"/>
        <v>111627.3575</v>
      </c>
      <c r="E144" s="5">
        <v>31</v>
      </c>
      <c r="F144" t="s">
        <v>35</v>
      </c>
      <c r="G144" s="6">
        <v>3712.25</v>
      </c>
      <c r="H144" t="s">
        <v>30</v>
      </c>
      <c r="I144" s="7">
        <v>0.03</v>
      </c>
      <c r="J144" t="s">
        <v>31</v>
      </c>
      <c r="K144" t="s">
        <v>19</v>
      </c>
    </row>
    <row r="145" spans="1:11" x14ac:dyDescent="0.25">
      <c r="A145" s="1" t="s">
        <v>70</v>
      </c>
      <c r="B145" t="s">
        <v>24</v>
      </c>
      <c r="C145" t="s">
        <v>34</v>
      </c>
      <c r="D145" s="6">
        <f t="shared" si="2"/>
        <v>8910</v>
      </c>
      <c r="E145" s="5">
        <v>6</v>
      </c>
      <c r="F145" t="s">
        <v>29</v>
      </c>
      <c r="G145" s="6">
        <v>1687.5</v>
      </c>
      <c r="H145" t="s">
        <v>17</v>
      </c>
      <c r="I145" s="7">
        <v>0.12</v>
      </c>
      <c r="J145" t="s">
        <v>31</v>
      </c>
      <c r="K145" t="s">
        <v>19</v>
      </c>
    </row>
    <row r="146" spans="1:11" x14ac:dyDescent="0.25">
      <c r="A146" s="1" t="s">
        <v>62</v>
      </c>
      <c r="B146" t="s">
        <v>38</v>
      </c>
      <c r="C146" t="s">
        <v>15</v>
      </c>
      <c r="D146" s="6">
        <f t="shared" si="2"/>
        <v>105274.7586</v>
      </c>
      <c r="E146" s="5">
        <v>43</v>
      </c>
      <c r="F146" t="s">
        <v>16</v>
      </c>
      <c r="G146" s="6">
        <v>2472.98</v>
      </c>
      <c r="H146" t="s">
        <v>30</v>
      </c>
      <c r="I146" s="7">
        <v>0.01</v>
      </c>
      <c r="J146" t="s">
        <v>31</v>
      </c>
      <c r="K146" t="s">
        <v>22</v>
      </c>
    </row>
    <row r="147" spans="1:11" x14ac:dyDescent="0.25">
      <c r="A147" s="1" t="s">
        <v>62</v>
      </c>
      <c r="B147" t="s">
        <v>38</v>
      </c>
      <c r="C147" t="s">
        <v>21</v>
      </c>
      <c r="D147" s="6">
        <f t="shared" si="2"/>
        <v>17735.481499999998</v>
      </c>
      <c r="E147" s="5">
        <v>11</v>
      </c>
      <c r="F147" t="s">
        <v>16</v>
      </c>
      <c r="G147" s="6">
        <v>1942.55</v>
      </c>
      <c r="H147" t="s">
        <v>30</v>
      </c>
      <c r="I147" s="7">
        <v>0.17</v>
      </c>
      <c r="J147" t="s">
        <v>31</v>
      </c>
      <c r="K147" t="s">
        <v>22</v>
      </c>
    </row>
    <row r="148" spans="1:11" x14ac:dyDescent="0.25">
      <c r="A148" s="1" t="s">
        <v>62</v>
      </c>
      <c r="B148" t="s">
        <v>42</v>
      </c>
      <c r="C148" t="s">
        <v>34</v>
      </c>
      <c r="D148" s="6">
        <f t="shared" si="2"/>
        <v>49385.142400000004</v>
      </c>
      <c r="E148" s="5">
        <v>16</v>
      </c>
      <c r="F148" t="s">
        <v>16</v>
      </c>
      <c r="G148" s="6">
        <v>4228.18</v>
      </c>
      <c r="H148" t="s">
        <v>30</v>
      </c>
      <c r="I148" s="7">
        <v>0.27</v>
      </c>
      <c r="J148" t="s">
        <v>18</v>
      </c>
      <c r="K148" t="s">
        <v>22</v>
      </c>
    </row>
    <row r="149" spans="1:11" x14ac:dyDescent="0.25">
      <c r="A149" s="1" t="s">
        <v>62</v>
      </c>
      <c r="B149" t="s">
        <v>33</v>
      </c>
      <c r="C149" t="s">
        <v>21</v>
      </c>
      <c r="D149" s="6">
        <f t="shared" si="2"/>
        <v>1664.2784000000001</v>
      </c>
      <c r="E149" s="5">
        <v>2</v>
      </c>
      <c r="F149" t="s">
        <v>26</v>
      </c>
      <c r="G149" s="6">
        <v>1094.92</v>
      </c>
      <c r="H149" t="s">
        <v>30</v>
      </c>
      <c r="I149" s="7">
        <v>0.24</v>
      </c>
      <c r="J149" t="s">
        <v>18</v>
      </c>
      <c r="K149" t="s">
        <v>22</v>
      </c>
    </row>
    <row r="150" spans="1:11" x14ac:dyDescent="0.25">
      <c r="A150" s="1" t="s">
        <v>62</v>
      </c>
      <c r="B150" t="s">
        <v>33</v>
      </c>
      <c r="C150" t="s">
        <v>34</v>
      </c>
      <c r="D150" s="6">
        <f t="shared" si="2"/>
        <v>96850.774799999781</v>
      </c>
      <c r="E150" s="5">
        <v>26</v>
      </c>
      <c r="F150" t="s">
        <v>35</v>
      </c>
      <c r="G150" s="6">
        <v>4331.4299999999903</v>
      </c>
      <c r="H150" t="s">
        <v>17</v>
      </c>
      <c r="I150" s="7">
        <v>0.14000000000000001</v>
      </c>
      <c r="J150" t="s">
        <v>31</v>
      </c>
      <c r="K150" t="s">
        <v>22</v>
      </c>
    </row>
    <row r="151" spans="1:11" x14ac:dyDescent="0.25">
      <c r="A151" s="1" t="s">
        <v>64</v>
      </c>
      <c r="B151" t="s">
        <v>24</v>
      </c>
      <c r="C151" t="s">
        <v>25</v>
      </c>
      <c r="D151" s="6">
        <f t="shared" si="2"/>
        <v>8913.6</v>
      </c>
      <c r="E151" s="5">
        <v>30</v>
      </c>
      <c r="F151" t="s">
        <v>26</v>
      </c>
      <c r="G151" s="6">
        <v>371.4</v>
      </c>
      <c r="H151" t="s">
        <v>17</v>
      </c>
      <c r="I151" s="7">
        <v>0.2</v>
      </c>
      <c r="J151" t="s">
        <v>27</v>
      </c>
      <c r="K151" t="s">
        <v>22</v>
      </c>
    </row>
    <row r="152" spans="1:11" x14ac:dyDescent="0.25">
      <c r="A152" s="1" t="s">
        <v>62</v>
      </c>
      <c r="B152" t="s">
        <v>38</v>
      </c>
      <c r="C152" t="s">
        <v>34</v>
      </c>
      <c r="D152" s="6">
        <f t="shared" si="2"/>
        <v>74057.025299999994</v>
      </c>
      <c r="E152" s="5">
        <v>31</v>
      </c>
      <c r="F152" t="s">
        <v>26</v>
      </c>
      <c r="G152" s="6">
        <v>3023.97</v>
      </c>
      <c r="H152" t="s">
        <v>17</v>
      </c>
      <c r="I152" s="7">
        <v>0.21</v>
      </c>
      <c r="J152" t="s">
        <v>18</v>
      </c>
      <c r="K152" t="s">
        <v>19</v>
      </c>
    </row>
    <row r="153" spans="1:11" x14ac:dyDescent="0.25">
      <c r="A153" s="1" t="s">
        <v>62</v>
      </c>
      <c r="B153" t="s">
        <v>42</v>
      </c>
      <c r="C153" t="s">
        <v>25</v>
      </c>
      <c r="D153" s="6">
        <f t="shared" si="2"/>
        <v>44427.255599999997</v>
      </c>
      <c r="E153" s="5">
        <v>14</v>
      </c>
      <c r="F153" t="s">
        <v>29</v>
      </c>
      <c r="G153" s="6">
        <v>4068.43</v>
      </c>
      <c r="H153" t="s">
        <v>30</v>
      </c>
      <c r="I153" s="7">
        <v>0.22</v>
      </c>
      <c r="J153" t="s">
        <v>31</v>
      </c>
      <c r="K153" t="s">
        <v>19</v>
      </c>
    </row>
    <row r="154" spans="1:11" x14ac:dyDescent="0.25">
      <c r="A154" s="1" t="s">
        <v>62</v>
      </c>
      <c r="B154" t="s">
        <v>33</v>
      </c>
      <c r="C154" t="s">
        <v>34</v>
      </c>
      <c r="D154" s="6">
        <f t="shared" si="2"/>
        <v>17641.251</v>
      </c>
      <c r="E154" s="5">
        <v>29</v>
      </c>
      <c r="F154" t="s">
        <v>35</v>
      </c>
      <c r="G154" s="6">
        <v>675.91</v>
      </c>
      <c r="H154" t="s">
        <v>17</v>
      </c>
      <c r="I154" s="7">
        <v>0.1</v>
      </c>
      <c r="J154" t="s">
        <v>18</v>
      </c>
      <c r="K154" t="s">
        <v>22</v>
      </c>
    </row>
    <row r="155" spans="1:11" x14ac:dyDescent="0.25">
      <c r="A155" s="1" t="s">
        <v>62</v>
      </c>
      <c r="B155" t="s">
        <v>14</v>
      </c>
      <c r="C155" t="s">
        <v>34</v>
      </c>
      <c r="D155" s="6">
        <f t="shared" si="2"/>
        <v>10897.163199999999</v>
      </c>
      <c r="E155" s="5">
        <v>14</v>
      </c>
      <c r="F155" t="s">
        <v>35</v>
      </c>
      <c r="G155" s="6">
        <v>884.51</v>
      </c>
      <c r="H155" t="s">
        <v>30</v>
      </c>
      <c r="I155" s="7">
        <v>0.12</v>
      </c>
      <c r="J155" t="s">
        <v>27</v>
      </c>
      <c r="K155" t="s">
        <v>19</v>
      </c>
    </row>
    <row r="156" spans="1:11" x14ac:dyDescent="0.25">
      <c r="A156" s="1" t="s">
        <v>62</v>
      </c>
      <c r="B156" t="s">
        <v>38</v>
      </c>
      <c r="C156" t="s">
        <v>15</v>
      </c>
      <c r="D156" s="6">
        <f t="shared" si="2"/>
        <v>50036.9352</v>
      </c>
      <c r="E156" s="5">
        <v>37</v>
      </c>
      <c r="F156" t="s">
        <v>35</v>
      </c>
      <c r="G156" s="6">
        <v>1609.94</v>
      </c>
      <c r="H156" t="s">
        <v>17</v>
      </c>
      <c r="I156" s="7">
        <v>0.16</v>
      </c>
      <c r="J156" t="s">
        <v>31</v>
      </c>
      <c r="K156" t="s">
        <v>19</v>
      </c>
    </row>
    <row r="157" spans="1:11" x14ac:dyDescent="0.25">
      <c r="A157" s="1" t="s">
        <v>72</v>
      </c>
      <c r="B157" t="s">
        <v>24</v>
      </c>
      <c r="C157" t="s">
        <v>25</v>
      </c>
      <c r="D157" s="6">
        <f t="shared" si="2"/>
        <v>9249.1440000000002</v>
      </c>
      <c r="E157" s="5">
        <v>8</v>
      </c>
      <c r="F157" t="s">
        <v>29</v>
      </c>
      <c r="G157" s="6">
        <v>1191.9000000000001</v>
      </c>
      <c r="H157" t="s">
        <v>30</v>
      </c>
      <c r="I157" s="7">
        <v>0.03</v>
      </c>
      <c r="J157" t="s">
        <v>18</v>
      </c>
      <c r="K157" t="s">
        <v>22</v>
      </c>
    </row>
    <row r="158" spans="1:11" x14ac:dyDescent="0.25">
      <c r="A158" s="1" t="s">
        <v>64</v>
      </c>
      <c r="B158" t="s">
        <v>24</v>
      </c>
      <c r="C158" t="s">
        <v>25</v>
      </c>
      <c r="D158" s="6">
        <f t="shared" si="2"/>
        <v>11482.085999999999</v>
      </c>
      <c r="E158" s="5">
        <v>29</v>
      </c>
      <c r="F158" t="s">
        <v>16</v>
      </c>
      <c r="G158" s="6">
        <v>565.62</v>
      </c>
      <c r="H158" t="s">
        <v>17</v>
      </c>
      <c r="I158" s="7">
        <v>0.3</v>
      </c>
      <c r="J158" t="s">
        <v>18</v>
      </c>
      <c r="K158" t="s">
        <v>19</v>
      </c>
    </row>
    <row r="159" spans="1:11" x14ac:dyDescent="0.25">
      <c r="A159" s="1" t="s">
        <v>62</v>
      </c>
      <c r="B159" t="s">
        <v>33</v>
      </c>
      <c r="C159" t="s">
        <v>34</v>
      </c>
      <c r="D159" s="6">
        <f t="shared" si="2"/>
        <v>46930.828399999999</v>
      </c>
      <c r="E159" s="5">
        <v>23</v>
      </c>
      <c r="F159" t="s">
        <v>35</v>
      </c>
      <c r="G159" s="6">
        <v>2684.83</v>
      </c>
      <c r="H159" t="s">
        <v>30</v>
      </c>
      <c r="I159" s="7">
        <v>0.24</v>
      </c>
      <c r="J159" t="s">
        <v>18</v>
      </c>
      <c r="K159" t="s">
        <v>19</v>
      </c>
    </row>
    <row r="160" spans="1:11" x14ac:dyDescent="0.25">
      <c r="A160" s="1" t="s">
        <v>62</v>
      </c>
      <c r="B160" t="s">
        <v>42</v>
      </c>
      <c r="C160" t="s">
        <v>25</v>
      </c>
      <c r="D160" s="6">
        <f t="shared" si="2"/>
        <v>33758.224999999999</v>
      </c>
      <c r="E160" s="5">
        <v>31</v>
      </c>
      <c r="F160" t="s">
        <v>16</v>
      </c>
      <c r="G160" s="6">
        <v>1266.25</v>
      </c>
      <c r="H160" t="s">
        <v>17</v>
      </c>
      <c r="I160" s="7">
        <v>0.14000000000000001</v>
      </c>
      <c r="J160" t="s">
        <v>18</v>
      </c>
      <c r="K160" t="s">
        <v>22</v>
      </c>
    </row>
    <row r="161" spans="1:11" x14ac:dyDescent="0.25">
      <c r="A161" s="1" t="s">
        <v>62</v>
      </c>
      <c r="B161" t="s">
        <v>38</v>
      </c>
      <c r="C161" t="s">
        <v>21</v>
      </c>
      <c r="D161" s="6">
        <f t="shared" si="2"/>
        <v>50130.225000000006</v>
      </c>
      <c r="E161" s="5">
        <v>45</v>
      </c>
      <c r="F161" t="s">
        <v>26</v>
      </c>
      <c r="G161" s="6">
        <v>1485.34</v>
      </c>
      <c r="H161" t="s">
        <v>30</v>
      </c>
      <c r="I161" s="7">
        <v>0.25</v>
      </c>
      <c r="J161" t="s">
        <v>31</v>
      </c>
      <c r="K161" t="s">
        <v>22</v>
      </c>
    </row>
    <row r="162" spans="1:11" x14ac:dyDescent="0.25">
      <c r="A162" s="1" t="s">
        <v>62</v>
      </c>
      <c r="B162" t="s">
        <v>42</v>
      </c>
      <c r="C162" t="s">
        <v>34</v>
      </c>
      <c r="D162" s="6">
        <f t="shared" si="2"/>
        <v>52391.425999999999</v>
      </c>
      <c r="E162" s="5">
        <v>31</v>
      </c>
      <c r="F162" t="s">
        <v>35</v>
      </c>
      <c r="G162" s="6">
        <v>2036.2</v>
      </c>
      <c r="H162" t="s">
        <v>30</v>
      </c>
      <c r="I162" s="7">
        <v>0.17</v>
      </c>
      <c r="J162" t="s">
        <v>18</v>
      </c>
      <c r="K162" t="s">
        <v>19</v>
      </c>
    </row>
    <row r="163" spans="1:11" x14ac:dyDescent="0.25">
      <c r="A163" s="1" t="s">
        <v>62</v>
      </c>
      <c r="B163" t="s">
        <v>38</v>
      </c>
      <c r="C163" t="s">
        <v>21</v>
      </c>
      <c r="D163" s="6">
        <f t="shared" si="2"/>
        <v>124218.98999999999</v>
      </c>
      <c r="E163" s="5">
        <v>45</v>
      </c>
      <c r="F163" t="s">
        <v>16</v>
      </c>
      <c r="G163" s="6">
        <v>3781.4</v>
      </c>
      <c r="H163" t="s">
        <v>17</v>
      </c>
      <c r="I163" s="7">
        <v>0.27</v>
      </c>
      <c r="J163" t="s">
        <v>31</v>
      </c>
      <c r="K163" t="s">
        <v>19</v>
      </c>
    </row>
    <row r="164" spans="1:11" x14ac:dyDescent="0.25">
      <c r="A164" s="1" t="s">
        <v>62</v>
      </c>
      <c r="B164" t="s">
        <v>42</v>
      </c>
      <c r="C164" t="s">
        <v>21</v>
      </c>
      <c r="D164" s="6">
        <f t="shared" si="2"/>
        <v>34201.86</v>
      </c>
      <c r="E164" s="5">
        <v>20</v>
      </c>
      <c r="F164" t="s">
        <v>35</v>
      </c>
      <c r="G164" s="6">
        <v>2220.9</v>
      </c>
      <c r="H164" t="s">
        <v>30</v>
      </c>
      <c r="I164" s="7">
        <v>0.23</v>
      </c>
      <c r="J164" t="s">
        <v>31</v>
      </c>
      <c r="K164" t="s">
        <v>22</v>
      </c>
    </row>
    <row r="165" spans="1:11" x14ac:dyDescent="0.25">
      <c r="A165" s="1" t="s">
        <v>62</v>
      </c>
      <c r="B165" t="s">
        <v>42</v>
      </c>
      <c r="C165" t="s">
        <v>21</v>
      </c>
      <c r="D165" s="6">
        <f t="shared" si="2"/>
        <v>79269.3</v>
      </c>
      <c r="E165" s="5">
        <v>20</v>
      </c>
      <c r="F165" t="s">
        <v>29</v>
      </c>
      <c r="G165" s="6">
        <v>4003.5</v>
      </c>
      <c r="H165" t="s">
        <v>30</v>
      </c>
      <c r="I165" s="7">
        <v>0.01</v>
      </c>
      <c r="J165" t="s">
        <v>31</v>
      </c>
      <c r="K165" t="s">
        <v>22</v>
      </c>
    </row>
    <row r="166" spans="1:11" x14ac:dyDescent="0.25">
      <c r="A166" s="1" t="s">
        <v>62</v>
      </c>
      <c r="B166" t="s">
        <v>42</v>
      </c>
      <c r="C166" t="s">
        <v>34</v>
      </c>
      <c r="D166" s="6">
        <f t="shared" si="2"/>
        <v>185852.91150000002</v>
      </c>
      <c r="E166" s="5">
        <v>45</v>
      </c>
      <c r="F166" t="s">
        <v>35</v>
      </c>
      <c r="G166" s="6">
        <v>5227.93</v>
      </c>
      <c r="H166" t="s">
        <v>30</v>
      </c>
      <c r="I166" s="7">
        <v>0.21</v>
      </c>
      <c r="J166" t="s">
        <v>27</v>
      </c>
      <c r="K166" t="s">
        <v>19</v>
      </c>
    </row>
    <row r="167" spans="1:11" x14ac:dyDescent="0.25">
      <c r="A167" s="1" t="s">
        <v>62</v>
      </c>
      <c r="B167" t="s">
        <v>33</v>
      </c>
      <c r="C167" t="s">
        <v>25</v>
      </c>
      <c r="D167" s="6">
        <f t="shared" si="2"/>
        <v>133757.48800000001</v>
      </c>
      <c r="E167" s="5">
        <v>47</v>
      </c>
      <c r="F167" t="s">
        <v>26</v>
      </c>
      <c r="G167" s="6">
        <v>3557.38</v>
      </c>
      <c r="H167" t="s">
        <v>30</v>
      </c>
      <c r="I167" s="7">
        <v>0.2</v>
      </c>
      <c r="J167" t="s">
        <v>31</v>
      </c>
      <c r="K167" t="s">
        <v>19</v>
      </c>
    </row>
    <row r="168" spans="1:11" x14ac:dyDescent="0.25">
      <c r="A168" s="1" t="s">
        <v>62</v>
      </c>
      <c r="B168" t="s">
        <v>42</v>
      </c>
      <c r="C168" t="s">
        <v>21</v>
      </c>
      <c r="D168" s="6">
        <f t="shared" si="2"/>
        <v>113884.18560000001</v>
      </c>
      <c r="E168" s="5">
        <v>27</v>
      </c>
      <c r="F168" t="s">
        <v>35</v>
      </c>
      <c r="G168" s="6">
        <v>4393.68</v>
      </c>
      <c r="H168" t="s">
        <v>17</v>
      </c>
      <c r="I168" s="7">
        <v>0.04</v>
      </c>
      <c r="J168" t="s">
        <v>31</v>
      </c>
      <c r="K168" t="s">
        <v>19</v>
      </c>
    </row>
    <row r="169" spans="1:11" x14ac:dyDescent="0.25">
      <c r="A169" s="1" t="s">
        <v>62</v>
      </c>
      <c r="B169" t="s">
        <v>14</v>
      </c>
      <c r="C169" t="s">
        <v>21</v>
      </c>
      <c r="D169" s="6">
        <f t="shared" si="2"/>
        <v>53833.625999999625</v>
      </c>
      <c r="E169" s="5">
        <v>42</v>
      </c>
      <c r="F169" t="s">
        <v>16</v>
      </c>
      <c r="G169" s="6">
        <v>1424.1699999999901</v>
      </c>
      <c r="H169" t="s">
        <v>30</v>
      </c>
      <c r="I169" s="7">
        <v>0.1</v>
      </c>
      <c r="J169" t="s">
        <v>18</v>
      </c>
      <c r="K169" t="s">
        <v>19</v>
      </c>
    </row>
    <row r="170" spans="1:11" x14ac:dyDescent="0.25">
      <c r="A170" s="1" t="s">
        <v>62</v>
      </c>
      <c r="B170" t="s">
        <v>14</v>
      </c>
      <c r="C170" t="s">
        <v>21</v>
      </c>
      <c r="D170" s="6">
        <f t="shared" si="2"/>
        <v>1688.6529</v>
      </c>
      <c r="E170" s="5">
        <v>1</v>
      </c>
      <c r="F170" t="s">
        <v>16</v>
      </c>
      <c r="G170" s="6">
        <v>1705.71</v>
      </c>
      <c r="H170" t="s">
        <v>17</v>
      </c>
      <c r="I170" s="7">
        <v>0.01</v>
      </c>
      <c r="J170" t="s">
        <v>18</v>
      </c>
      <c r="K170" t="s">
        <v>22</v>
      </c>
    </row>
    <row r="171" spans="1:11" x14ac:dyDescent="0.25">
      <c r="A171" s="1" t="s">
        <v>62</v>
      </c>
      <c r="B171" t="s">
        <v>14</v>
      </c>
      <c r="C171" t="s">
        <v>34</v>
      </c>
      <c r="D171" s="6">
        <f t="shared" si="2"/>
        <v>159042.2096</v>
      </c>
      <c r="E171" s="5">
        <v>47</v>
      </c>
      <c r="F171" t="s">
        <v>16</v>
      </c>
      <c r="G171" s="6">
        <v>4076.96</v>
      </c>
      <c r="H171" t="s">
        <v>17</v>
      </c>
      <c r="I171" s="7">
        <v>0.17</v>
      </c>
      <c r="J171" t="s">
        <v>18</v>
      </c>
      <c r="K171" t="s">
        <v>22</v>
      </c>
    </row>
    <row r="172" spans="1:11" x14ac:dyDescent="0.25">
      <c r="A172" s="1" t="s">
        <v>62</v>
      </c>
      <c r="B172" t="s">
        <v>38</v>
      </c>
      <c r="C172" t="s">
        <v>21</v>
      </c>
      <c r="D172" s="6">
        <f t="shared" si="2"/>
        <v>50476.568999999996</v>
      </c>
      <c r="E172" s="5">
        <v>22</v>
      </c>
      <c r="F172" t="s">
        <v>35</v>
      </c>
      <c r="G172" s="6">
        <v>2365.35</v>
      </c>
      <c r="H172" t="s">
        <v>30</v>
      </c>
      <c r="I172" s="7">
        <v>0.03</v>
      </c>
      <c r="J172" t="s">
        <v>18</v>
      </c>
      <c r="K172" t="s">
        <v>22</v>
      </c>
    </row>
    <row r="173" spans="1:11" x14ac:dyDescent="0.25">
      <c r="A173" s="1" t="s">
        <v>62</v>
      </c>
      <c r="B173" t="s">
        <v>14</v>
      </c>
      <c r="C173" t="s">
        <v>21</v>
      </c>
      <c r="D173" s="6">
        <f t="shared" si="2"/>
        <v>7299.7455999999665</v>
      </c>
      <c r="E173" s="5">
        <v>34</v>
      </c>
      <c r="F173" t="s">
        <v>35</v>
      </c>
      <c r="G173" s="6">
        <v>219.07999999999899</v>
      </c>
      <c r="H173" t="s">
        <v>30</v>
      </c>
      <c r="I173" s="7">
        <v>0.02</v>
      </c>
      <c r="J173" t="s">
        <v>31</v>
      </c>
      <c r="K173" t="s">
        <v>19</v>
      </c>
    </row>
    <row r="174" spans="1:11" x14ac:dyDescent="0.25">
      <c r="A174" s="1" t="s">
        <v>62</v>
      </c>
      <c r="B174" t="s">
        <v>33</v>
      </c>
      <c r="C174" t="s">
        <v>34</v>
      </c>
      <c r="D174" s="6">
        <f t="shared" si="2"/>
        <v>134126.95879999999</v>
      </c>
      <c r="E174" s="5">
        <v>43</v>
      </c>
      <c r="F174" t="s">
        <v>16</v>
      </c>
      <c r="G174" s="6">
        <v>4272.92</v>
      </c>
      <c r="H174" t="s">
        <v>30</v>
      </c>
      <c r="I174" s="7">
        <v>0.27</v>
      </c>
      <c r="J174" t="s">
        <v>31</v>
      </c>
      <c r="K174" t="s">
        <v>19</v>
      </c>
    </row>
    <row r="175" spans="1:11" x14ac:dyDescent="0.25">
      <c r="A175" s="1" t="s">
        <v>62</v>
      </c>
      <c r="B175" t="s">
        <v>33</v>
      </c>
      <c r="C175" t="s">
        <v>15</v>
      </c>
      <c r="D175" s="6">
        <f t="shared" si="2"/>
        <v>4611.5999999999995</v>
      </c>
      <c r="E175" s="5">
        <v>7</v>
      </c>
      <c r="F175" t="s">
        <v>16</v>
      </c>
      <c r="G175" s="6">
        <v>686.25</v>
      </c>
      <c r="H175" t="s">
        <v>17</v>
      </c>
      <c r="I175" s="7">
        <v>0.04</v>
      </c>
      <c r="J175" t="s">
        <v>18</v>
      </c>
      <c r="K175" t="s">
        <v>19</v>
      </c>
    </row>
    <row r="176" spans="1:11" x14ac:dyDescent="0.25">
      <c r="A176" s="1" t="s">
        <v>69</v>
      </c>
      <c r="B176" t="s">
        <v>24</v>
      </c>
      <c r="C176" t="s">
        <v>25</v>
      </c>
      <c r="D176" s="6">
        <f t="shared" si="2"/>
        <v>11919.927600000001</v>
      </c>
      <c r="E176" s="5">
        <v>42</v>
      </c>
      <c r="F176" t="s">
        <v>26</v>
      </c>
      <c r="G176" s="6">
        <v>350.38</v>
      </c>
      <c r="H176" t="s">
        <v>17</v>
      </c>
      <c r="I176" s="7">
        <v>0.19</v>
      </c>
      <c r="J176" t="s">
        <v>31</v>
      </c>
      <c r="K176" t="s">
        <v>22</v>
      </c>
    </row>
    <row r="177" spans="1:11" x14ac:dyDescent="0.25">
      <c r="A177" s="1" t="s">
        <v>66</v>
      </c>
      <c r="B177" t="s">
        <v>33</v>
      </c>
      <c r="C177" t="s">
        <v>34</v>
      </c>
      <c r="D177" s="6">
        <f t="shared" si="2"/>
        <v>8284.8115999999991</v>
      </c>
      <c r="E177" s="5">
        <v>13</v>
      </c>
      <c r="F177" t="s">
        <v>35</v>
      </c>
      <c r="G177" s="6">
        <v>692.71</v>
      </c>
      <c r="H177" t="s">
        <v>30</v>
      </c>
      <c r="I177" s="7">
        <v>0.08</v>
      </c>
      <c r="J177" t="s">
        <v>31</v>
      </c>
      <c r="K177" t="s">
        <v>19</v>
      </c>
    </row>
    <row r="178" spans="1:11" x14ac:dyDescent="0.25">
      <c r="A178" s="1" t="s">
        <v>66</v>
      </c>
      <c r="B178" t="s">
        <v>14</v>
      </c>
      <c r="C178" t="s">
        <v>25</v>
      </c>
      <c r="D178" s="6">
        <f t="shared" si="2"/>
        <v>38921.894999999997</v>
      </c>
      <c r="E178" s="5">
        <v>15</v>
      </c>
      <c r="F178" t="s">
        <v>29</v>
      </c>
      <c r="G178" s="6">
        <v>2790.1</v>
      </c>
      <c r="H178" t="s">
        <v>17</v>
      </c>
      <c r="I178" s="7">
        <v>7.0000000000000007E-2</v>
      </c>
      <c r="J178" t="s">
        <v>18</v>
      </c>
      <c r="K178" t="s">
        <v>19</v>
      </c>
    </row>
    <row r="179" spans="1:11" x14ac:dyDescent="0.25">
      <c r="A179" s="1" t="s">
        <v>68</v>
      </c>
      <c r="B179" t="s">
        <v>24</v>
      </c>
      <c r="C179" t="s">
        <v>25</v>
      </c>
      <c r="D179" s="6">
        <f t="shared" si="2"/>
        <v>12200.673599999966</v>
      </c>
      <c r="E179" s="5">
        <v>47</v>
      </c>
      <c r="F179" t="s">
        <v>16</v>
      </c>
      <c r="G179" s="6">
        <v>360.539999999999</v>
      </c>
      <c r="H179" t="s">
        <v>30</v>
      </c>
      <c r="I179" s="7">
        <v>0.28000000000000003</v>
      </c>
      <c r="J179" t="s">
        <v>18</v>
      </c>
      <c r="K179" t="s">
        <v>19</v>
      </c>
    </row>
    <row r="180" spans="1:11" x14ac:dyDescent="0.25">
      <c r="A180" s="1" t="s">
        <v>66</v>
      </c>
      <c r="B180" t="s">
        <v>38</v>
      </c>
      <c r="C180" t="s">
        <v>21</v>
      </c>
      <c r="D180" s="6">
        <f t="shared" si="2"/>
        <v>2110.328</v>
      </c>
      <c r="E180" s="5">
        <v>1</v>
      </c>
      <c r="F180" t="s">
        <v>26</v>
      </c>
      <c r="G180" s="6">
        <v>2637.91</v>
      </c>
      <c r="H180" t="s">
        <v>17</v>
      </c>
      <c r="I180" s="7">
        <v>0.2</v>
      </c>
      <c r="J180" t="s">
        <v>31</v>
      </c>
      <c r="K180" t="s">
        <v>19</v>
      </c>
    </row>
    <row r="181" spans="1:11" x14ac:dyDescent="0.25">
      <c r="A181" s="1" t="s">
        <v>66</v>
      </c>
      <c r="B181" t="s">
        <v>42</v>
      </c>
      <c r="C181" t="s">
        <v>34</v>
      </c>
      <c r="D181" s="6">
        <f t="shared" si="2"/>
        <v>89170.636400000003</v>
      </c>
      <c r="E181" s="5">
        <v>37</v>
      </c>
      <c r="F181" t="s">
        <v>35</v>
      </c>
      <c r="G181" s="6">
        <v>3256.78</v>
      </c>
      <c r="H181" t="s">
        <v>17</v>
      </c>
      <c r="I181" s="7">
        <v>0.26</v>
      </c>
      <c r="J181" t="s">
        <v>31</v>
      </c>
      <c r="K181" t="s">
        <v>19</v>
      </c>
    </row>
    <row r="182" spans="1:11" x14ac:dyDescent="0.25">
      <c r="A182" s="1" t="s">
        <v>66</v>
      </c>
      <c r="B182" t="s">
        <v>38</v>
      </c>
      <c r="C182" t="s">
        <v>21</v>
      </c>
      <c r="D182" s="6">
        <f t="shared" si="2"/>
        <v>87321.013200000001</v>
      </c>
      <c r="E182" s="5">
        <v>38</v>
      </c>
      <c r="F182" t="s">
        <v>26</v>
      </c>
      <c r="G182" s="6">
        <v>2836.94</v>
      </c>
      <c r="H182" t="s">
        <v>17</v>
      </c>
      <c r="I182" s="7">
        <v>0.19</v>
      </c>
      <c r="J182" t="s">
        <v>31</v>
      </c>
      <c r="K182" t="s">
        <v>19</v>
      </c>
    </row>
    <row r="183" spans="1:11" x14ac:dyDescent="0.25">
      <c r="A183" s="1" t="s">
        <v>66</v>
      </c>
      <c r="B183" t="s">
        <v>33</v>
      </c>
      <c r="C183" t="s">
        <v>34</v>
      </c>
      <c r="D183" s="6">
        <f t="shared" si="2"/>
        <v>28482.557999999997</v>
      </c>
      <c r="E183" s="5">
        <v>13</v>
      </c>
      <c r="F183" t="s">
        <v>29</v>
      </c>
      <c r="G183" s="6">
        <v>2882.85</v>
      </c>
      <c r="H183" t="s">
        <v>17</v>
      </c>
      <c r="I183" s="7">
        <v>0.24</v>
      </c>
      <c r="J183" t="s">
        <v>31</v>
      </c>
      <c r="K183" t="s">
        <v>19</v>
      </c>
    </row>
    <row r="184" spans="1:11" x14ac:dyDescent="0.25">
      <c r="A184" s="1" t="s">
        <v>66</v>
      </c>
      <c r="B184" t="s">
        <v>38</v>
      </c>
      <c r="C184" t="s">
        <v>25</v>
      </c>
      <c r="D184" s="6">
        <f t="shared" si="2"/>
        <v>87138.47159999999</v>
      </c>
      <c r="E184" s="5">
        <v>46</v>
      </c>
      <c r="F184" t="s">
        <v>35</v>
      </c>
      <c r="G184" s="6">
        <v>2338.66</v>
      </c>
      <c r="H184" t="s">
        <v>17</v>
      </c>
      <c r="I184" s="7">
        <v>0.19</v>
      </c>
      <c r="J184" t="s">
        <v>27</v>
      </c>
      <c r="K184" t="s">
        <v>22</v>
      </c>
    </row>
    <row r="185" spans="1:11" x14ac:dyDescent="0.25">
      <c r="A185" s="1" t="s">
        <v>71</v>
      </c>
      <c r="B185" t="s">
        <v>24</v>
      </c>
      <c r="C185" t="s">
        <v>21</v>
      </c>
      <c r="D185" s="6">
        <f t="shared" si="2"/>
        <v>12373.435799999905</v>
      </c>
      <c r="E185" s="5">
        <v>11</v>
      </c>
      <c r="F185" t="s">
        <v>35</v>
      </c>
      <c r="G185" s="6">
        <v>1292.9399999999901</v>
      </c>
      <c r="H185" t="s">
        <v>17</v>
      </c>
      <c r="I185" s="7">
        <v>0.13</v>
      </c>
      <c r="J185" t="s">
        <v>18</v>
      </c>
      <c r="K185" t="s">
        <v>22</v>
      </c>
    </row>
    <row r="186" spans="1:11" x14ac:dyDescent="0.25">
      <c r="A186" s="1" t="s">
        <v>66</v>
      </c>
      <c r="B186" t="s">
        <v>14</v>
      </c>
      <c r="C186" t="s">
        <v>25</v>
      </c>
      <c r="D186" s="6">
        <f t="shared" si="2"/>
        <v>21576.034800000001</v>
      </c>
      <c r="E186" s="5">
        <v>9</v>
      </c>
      <c r="F186" t="s">
        <v>29</v>
      </c>
      <c r="G186" s="6">
        <v>2755.56</v>
      </c>
      <c r="H186" t="s">
        <v>17</v>
      </c>
      <c r="I186" s="7">
        <v>0.13</v>
      </c>
      <c r="J186" t="s">
        <v>31</v>
      </c>
      <c r="K186" t="s">
        <v>22</v>
      </c>
    </row>
    <row r="187" spans="1:11" x14ac:dyDescent="0.25">
      <c r="A187" s="1" t="s">
        <v>66</v>
      </c>
      <c r="B187" t="s">
        <v>14</v>
      </c>
      <c r="C187" t="s">
        <v>21</v>
      </c>
      <c r="D187" s="6">
        <f t="shared" si="2"/>
        <v>136809.55519999997</v>
      </c>
      <c r="E187" s="5">
        <v>47</v>
      </c>
      <c r="F187" t="s">
        <v>35</v>
      </c>
      <c r="G187" s="6">
        <v>3096.64</v>
      </c>
      <c r="H187" t="s">
        <v>30</v>
      </c>
      <c r="I187" s="7">
        <v>0.06</v>
      </c>
      <c r="J187" t="s">
        <v>27</v>
      </c>
      <c r="K187" t="s">
        <v>19</v>
      </c>
    </row>
    <row r="188" spans="1:11" x14ac:dyDescent="0.25">
      <c r="A188" s="1" t="s">
        <v>66</v>
      </c>
      <c r="B188" t="s">
        <v>42</v>
      </c>
      <c r="C188" t="s">
        <v>34</v>
      </c>
      <c r="D188" s="6">
        <f t="shared" si="2"/>
        <v>9243.9935999999998</v>
      </c>
      <c r="E188" s="5">
        <v>12</v>
      </c>
      <c r="F188" t="s">
        <v>35</v>
      </c>
      <c r="G188" s="6">
        <v>802.43</v>
      </c>
      <c r="H188" t="s">
        <v>30</v>
      </c>
      <c r="I188" s="7">
        <v>0.04</v>
      </c>
      <c r="J188" t="s">
        <v>31</v>
      </c>
      <c r="K188" t="s">
        <v>22</v>
      </c>
    </row>
    <row r="189" spans="1:11" x14ac:dyDescent="0.25">
      <c r="A189" s="1" t="s">
        <v>74</v>
      </c>
      <c r="B189" t="s">
        <v>24</v>
      </c>
      <c r="C189" t="s">
        <v>34</v>
      </c>
      <c r="D189" s="6">
        <f t="shared" si="2"/>
        <v>12830.2482</v>
      </c>
      <c r="E189" s="5">
        <v>42</v>
      </c>
      <c r="F189" t="s">
        <v>26</v>
      </c>
      <c r="G189" s="6">
        <v>314.93</v>
      </c>
      <c r="H189" t="s">
        <v>17</v>
      </c>
      <c r="I189" s="7">
        <v>0.03</v>
      </c>
      <c r="J189" t="s">
        <v>18</v>
      </c>
      <c r="K189" t="s">
        <v>22</v>
      </c>
    </row>
    <row r="190" spans="1:11" x14ac:dyDescent="0.25">
      <c r="A190" s="1" t="s">
        <v>66</v>
      </c>
      <c r="B190" t="s">
        <v>24</v>
      </c>
      <c r="C190" t="s">
        <v>34</v>
      </c>
      <c r="D190" s="6">
        <f t="shared" si="2"/>
        <v>13072.331999999999</v>
      </c>
      <c r="E190" s="5">
        <v>7</v>
      </c>
      <c r="F190" t="s">
        <v>29</v>
      </c>
      <c r="G190" s="6">
        <v>2394.1999999999998</v>
      </c>
      <c r="H190" t="s">
        <v>30</v>
      </c>
      <c r="I190" s="7">
        <v>0.22</v>
      </c>
      <c r="J190" t="s">
        <v>27</v>
      </c>
      <c r="K190" t="s">
        <v>19</v>
      </c>
    </row>
    <row r="191" spans="1:11" x14ac:dyDescent="0.25">
      <c r="A191" s="1" t="s">
        <v>66</v>
      </c>
      <c r="B191" t="s">
        <v>42</v>
      </c>
      <c r="C191" t="s">
        <v>15</v>
      </c>
      <c r="D191" s="6">
        <f t="shared" si="2"/>
        <v>6154.02</v>
      </c>
      <c r="E191" s="5">
        <v>12</v>
      </c>
      <c r="F191" t="s">
        <v>29</v>
      </c>
      <c r="G191" s="6">
        <v>683.78</v>
      </c>
      <c r="H191" t="s">
        <v>30</v>
      </c>
      <c r="I191" s="7">
        <v>0.25</v>
      </c>
      <c r="J191" t="s">
        <v>31</v>
      </c>
      <c r="K191" t="s">
        <v>19</v>
      </c>
    </row>
    <row r="192" spans="1:11" x14ac:dyDescent="0.25">
      <c r="A192" s="1" t="s">
        <v>66</v>
      </c>
      <c r="B192" t="s">
        <v>42</v>
      </c>
      <c r="C192" t="s">
        <v>15</v>
      </c>
      <c r="D192" s="6">
        <f t="shared" si="2"/>
        <v>128974.98239999999</v>
      </c>
      <c r="E192" s="5">
        <v>48</v>
      </c>
      <c r="F192" t="s">
        <v>29</v>
      </c>
      <c r="G192" s="6">
        <v>2714.12</v>
      </c>
      <c r="H192" t="s">
        <v>30</v>
      </c>
      <c r="I192" s="7">
        <v>0.01</v>
      </c>
      <c r="J192" t="s">
        <v>31</v>
      </c>
      <c r="K192" t="s">
        <v>19</v>
      </c>
    </row>
    <row r="193" spans="1:11" x14ac:dyDescent="0.25">
      <c r="A193" s="1" t="s">
        <v>66</v>
      </c>
      <c r="B193" t="s">
        <v>38</v>
      </c>
      <c r="C193" t="s">
        <v>25</v>
      </c>
      <c r="D193" s="6">
        <f t="shared" si="2"/>
        <v>56227.415999999801</v>
      </c>
      <c r="E193" s="5">
        <v>21</v>
      </c>
      <c r="F193" t="s">
        <v>26</v>
      </c>
      <c r="G193" s="6">
        <v>2848.3999999999901</v>
      </c>
      <c r="H193" t="s">
        <v>17</v>
      </c>
      <c r="I193" s="7">
        <v>0.06</v>
      </c>
      <c r="J193" t="s">
        <v>27</v>
      </c>
      <c r="K193" t="s">
        <v>19</v>
      </c>
    </row>
    <row r="194" spans="1:11" x14ac:dyDescent="0.25">
      <c r="A194" s="1" t="s">
        <v>66</v>
      </c>
      <c r="B194" t="s">
        <v>14</v>
      </c>
      <c r="C194" t="s">
        <v>25</v>
      </c>
      <c r="D194" s="6">
        <f t="shared" ref="D194:D257" si="3">(Unit_Price*Qty_Sold)*(1-Discount)</f>
        <v>56689.5645</v>
      </c>
      <c r="E194" s="5">
        <v>15</v>
      </c>
      <c r="F194" t="s">
        <v>35</v>
      </c>
      <c r="G194" s="6">
        <v>3896.19</v>
      </c>
      <c r="H194" t="s">
        <v>30</v>
      </c>
      <c r="I194" s="7">
        <v>0.03</v>
      </c>
      <c r="J194" t="s">
        <v>31</v>
      </c>
      <c r="K194" t="s">
        <v>22</v>
      </c>
    </row>
    <row r="195" spans="1:11" x14ac:dyDescent="0.25">
      <c r="A195" s="1" t="s">
        <v>66</v>
      </c>
      <c r="B195" t="s">
        <v>38</v>
      </c>
      <c r="C195" t="s">
        <v>34</v>
      </c>
      <c r="D195" s="6">
        <f t="shared" si="3"/>
        <v>116774.48640000001</v>
      </c>
      <c r="E195" s="5">
        <v>38</v>
      </c>
      <c r="F195" t="s">
        <v>35</v>
      </c>
      <c r="G195" s="6">
        <v>4152.72</v>
      </c>
      <c r="H195" t="s">
        <v>17</v>
      </c>
      <c r="I195" s="7">
        <v>0.26</v>
      </c>
      <c r="J195" t="s">
        <v>18</v>
      </c>
      <c r="K195" t="s">
        <v>19</v>
      </c>
    </row>
    <row r="196" spans="1:11" x14ac:dyDescent="0.25">
      <c r="A196" s="1" t="s">
        <v>69</v>
      </c>
      <c r="B196" t="s">
        <v>24</v>
      </c>
      <c r="C196" t="s">
        <v>15</v>
      </c>
      <c r="D196" s="6">
        <f t="shared" si="3"/>
        <v>13093.105199999984</v>
      </c>
      <c r="E196" s="5">
        <v>21</v>
      </c>
      <c r="F196" t="s">
        <v>29</v>
      </c>
      <c r="G196" s="6">
        <v>820.36999999999898</v>
      </c>
      <c r="H196" t="s">
        <v>17</v>
      </c>
      <c r="I196" s="7">
        <v>0.24</v>
      </c>
      <c r="J196" t="s">
        <v>27</v>
      </c>
      <c r="K196" t="s">
        <v>19</v>
      </c>
    </row>
    <row r="197" spans="1:11" x14ac:dyDescent="0.25">
      <c r="A197" s="1" t="s">
        <v>66</v>
      </c>
      <c r="B197" t="s">
        <v>14</v>
      </c>
      <c r="C197" t="s">
        <v>21</v>
      </c>
      <c r="D197" s="6">
        <f t="shared" si="3"/>
        <v>8548.2054000000007</v>
      </c>
      <c r="E197" s="5">
        <v>14</v>
      </c>
      <c r="F197" t="s">
        <v>29</v>
      </c>
      <c r="G197" s="6">
        <v>753.81</v>
      </c>
      <c r="H197" t="s">
        <v>17</v>
      </c>
      <c r="I197" s="7">
        <v>0.19</v>
      </c>
      <c r="J197" t="s">
        <v>18</v>
      </c>
      <c r="K197" t="s">
        <v>22</v>
      </c>
    </row>
    <row r="198" spans="1:11" x14ac:dyDescent="0.25">
      <c r="A198" s="1" t="s">
        <v>66</v>
      </c>
      <c r="B198" t="s">
        <v>42</v>
      </c>
      <c r="C198" t="s">
        <v>21</v>
      </c>
      <c r="D198" s="6">
        <f t="shared" si="3"/>
        <v>102762.21200000001</v>
      </c>
      <c r="E198" s="5">
        <v>49</v>
      </c>
      <c r="F198" t="s">
        <v>16</v>
      </c>
      <c r="G198" s="6">
        <v>2467.2800000000002</v>
      </c>
      <c r="H198" t="s">
        <v>30</v>
      </c>
      <c r="I198" s="7">
        <v>0.15</v>
      </c>
      <c r="J198" t="s">
        <v>27</v>
      </c>
      <c r="K198" t="s">
        <v>22</v>
      </c>
    </row>
    <row r="199" spans="1:11" x14ac:dyDescent="0.25">
      <c r="A199" s="1" t="s">
        <v>66</v>
      </c>
      <c r="B199" t="s">
        <v>14</v>
      </c>
      <c r="C199" t="s">
        <v>15</v>
      </c>
      <c r="D199" s="6">
        <f t="shared" si="3"/>
        <v>27710.166400000006</v>
      </c>
      <c r="E199" s="5">
        <v>49</v>
      </c>
      <c r="F199" t="s">
        <v>26</v>
      </c>
      <c r="G199" s="6">
        <v>715.84</v>
      </c>
      <c r="H199" t="s">
        <v>17</v>
      </c>
      <c r="I199" s="7">
        <v>0.21</v>
      </c>
      <c r="J199" t="s">
        <v>31</v>
      </c>
      <c r="K199" t="s">
        <v>22</v>
      </c>
    </row>
    <row r="200" spans="1:11" x14ac:dyDescent="0.25">
      <c r="A200" s="1" t="s">
        <v>66</v>
      </c>
      <c r="B200" t="s">
        <v>38</v>
      </c>
      <c r="C200" t="s">
        <v>21</v>
      </c>
      <c r="D200" s="6">
        <f t="shared" si="3"/>
        <v>26790.7372</v>
      </c>
      <c r="E200" s="5">
        <v>19</v>
      </c>
      <c r="F200" t="s">
        <v>26</v>
      </c>
      <c r="G200" s="6">
        <v>1931.56</v>
      </c>
      <c r="H200" t="s">
        <v>17</v>
      </c>
      <c r="I200" s="7">
        <v>0.27</v>
      </c>
      <c r="J200" t="s">
        <v>27</v>
      </c>
      <c r="K200" t="s">
        <v>22</v>
      </c>
    </row>
    <row r="201" spans="1:11" x14ac:dyDescent="0.25">
      <c r="A201" s="1" t="s">
        <v>66</v>
      </c>
      <c r="B201" t="s">
        <v>33</v>
      </c>
      <c r="C201" t="s">
        <v>15</v>
      </c>
      <c r="D201" s="6">
        <f t="shared" si="3"/>
        <v>3541.6639999999952</v>
      </c>
      <c r="E201" s="5">
        <v>7</v>
      </c>
      <c r="F201" t="s">
        <v>29</v>
      </c>
      <c r="G201" s="6">
        <v>632.43999999999903</v>
      </c>
      <c r="H201" t="s">
        <v>30</v>
      </c>
      <c r="I201" s="7">
        <v>0.2</v>
      </c>
      <c r="J201" t="s">
        <v>27</v>
      </c>
      <c r="K201" t="s">
        <v>19</v>
      </c>
    </row>
    <row r="202" spans="1:11" x14ac:dyDescent="0.25">
      <c r="A202" s="1" t="s">
        <v>66</v>
      </c>
      <c r="B202" t="s">
        <v>14</v>
      </c>
      <c r="C202" t="s">
        <v>34</v>
      </c>
      <c r="D202" s="6">
        <f t="shared" si="3"/>
        <v>104363.65799999973</v>
      </c>
      <c r="E202" s="5">
        <v>28</v>
      </c>
      <c r="F202" t="s">
        <v>35</v>
      </c>
      <c r="G202" s="6">
        <v>3842.5499999999902</v>
      </c>
      <c r="H202" t="s">
        <v>30</v>
      </c>
      <c r="I202" s="7">
        <v>0.03</v>
      </c>
      <c r="J202" t="s">
        <v>27</v>
      </c>
      <c r="K202" t="s">
        <v>19</v>
      </c>
    </row>
    <row r="203" spans="1:11" x14ac:dyDescent="0.25">
      <c r="A203" s="1" t="s">
        <v>66</v>
      </c>
      <c r="B203" t="s">
        <v>14</v>
      </c>
      <c r="C203" t="s">
        <v>21</v>
      </c>
      <c r="D203" s="6">
        <f t="shared" si="3"/>
        <v>172918.59299999996</v>
      </c>
      <c r="E203" s="5">
        <v>45</v>
      </c>
      <c r="F203" t="s">
        <v>16</v>
      </c>
      <c r="G203" s="6">
        <v>4087.91</v>
      </c>
      <c r="H203" t="s">
        <v>17</v>
      </c>
      <c r="I203" s="7">
        <v>0.06</v>
      </c>
      <c r="J203" t="s">
        <v>27</v>
      </c>
      <c r="K203" t="s">
        <v>19</v>
      </c>
    </row>
    <row r="204" spans="1:11" x14ac:dyDescent="0.25">
      <c r="A204" s="1" t="s">
        <v>69</v>
      </c>
      <c r="B204" t="s">
        <v>24</v>
      </c>
      <c r="C204" t="s">
        <v>25</v>
      </c>
      <c r="D204" s="6">
        <f t="shared" si="3"/>
        <v>13239.807999999999</v>
      </c>
      <c r="E204" s="5">
        <v>32</v>
      </c>
      <c r="F204" t="s">
        <v>16</v>
      </c>
      <c r="G204" s="6">
        <v>517.17999999999995</v>
      </c>
      <c r="H204" t="s">
        <v>17</v>
      </c>
      <c r="I204" s="7">
        <v>0.2</v>
      </c>
      <c r="J204" t="s">
        <v>31</v>
      </c>
      <c r="K204" t="s">
        <v>22</v>
      </c>
    </row>
    <row r="205" spans="1:11" x14ac:dyDescent="0.25">
      <c r="A205" s="1" t="s">
        <v>69</v>
      </c>
      <c r="B205" t="s">
        <v>24</v>
      </c>
      <c r="C205" t="s">
        <v>25</v>
      </c>
      <c r="D205" s="6">
        <f t="shared" si="3"/>
        <v>13429.628699999999</v>
      </c>
      <c r="E205" s="5">
        <v>23</v>
      </c>
      <c r="F205" t="s">
        <v>35</v>
      </c>
      <c r="G205" s="6">
        <v>822.39</v>
      </c>
      <c r="H205" t="s">
        <v>17</v>
      </c>
      <c r="I205" s="7">
        <v>0.28999999999999998</v>
      </c>
      <c r="J205" t="s">
        <v>31</v>
      </c>
      <c r="K205" t="s">
        <v>19</v>
      </c>
    </row>
    <row r="206" spans="1:11" x14ac:dyDescent="0.25">
      <c r="A206" s="1" t="s">
        <v>68</v>
      </c>
      <c r="B206" t="s">
        <v>24</v>
      </c>
      <c r="C206" t="s">
        <v>34</v>
      </c>
      <c r="D206" s="6">
        <f t="shared" si="3"/>
        <v>13643.809199999998</v>
      </c>
      <c r="E206" s="5">
        <v>18</v>
      </c>
      <c r="F206" t="s">
        <v>29</v>
      </c>
      <c r="G206" s="6">
        <v>1024.31</v>
      </c>
      <c r="H206" t="s">
        <v>17</v>
      </c>
      <c r="I206" s="7">
        <v>0.26</v>
      </c>
      <c r="J206" t="s">
        <v>18</v>
      </c>
      <c r="K206" t="s">
        <v>19</v>
      </c>
    </row>
    <row r="207" spans="1:11" x14ac:dyDescent="0.25">
      <c r="A207" s="1" t="s">
        <v>66</v>
      </c>
      <c r="B207" t="s">
        <v>38</v>
      </c>
      <c r="C207" t="s">
        <v>15</v>
      </c>
      <c r="D207" s="6">
        <f t="shared" si="3"/>
        <v>24650.750999999997</v>
      </c>
      <c r="E207" s="5">
        <v>6</v>
      </c>
      <c r="F207" t="s">
        <v>35</v>
      </c>
      <c r="G207" s="6">
        <v>4949.95</v>
      </c>
      <c r="H207" t="s">
        <v>17</v>
      </c>
      <c r="I207" s="7">
        <v>0.17</v>
      </c>
      <c r="J207" t="s">
        <v>27</v>
      </c>
      <c r="K207" t="s">
        <v>19</v>
      </c>
    </row>
    <row r="208" spans="1:11" x14ac:dyDescent="0.25">
      <c r="A208" s="1" t="s">
        <v>66</v>
      </c>
      <c r="B208" t="s">
        <v>38</v>
      </c>
      <c r="C208" t="s">
        <v>15</v>
      </c>
      <c r="D208" s="6">
        <f t="shared" si="3"/>
        <v>100208.74499999969</v>
      </c>
      <c r="E208" s="5">
        <v>35</v>
      </c>
      <c r="F208" t="s">
        <v>16</v>
      </c>
      <c r="G208" s="6">
        <v>3181.22999999999</v>
      </c>
      <c r="H208" t="s">
        <v>30</v>
      </c>
      <c r="I208" s="7">
        <v>0.1</v>
      </c>
      <c r="J208" t="s">
        <v>31</v>
      </c>
      <c r="K208" t="s">
        <v>22</v>
      </c>
    </row>
    <row r="209" spans="1:11" x14ac:dyDescent="0.25">
      <c r="A209" s="1" t="s">
        <v>66</v>
      </c>
      <c r="B209" t="s">
        <v>42</v>
      </c>
      <c r="C209" t="s">
        <v>34</v>
      </c>
      <c r="D209" s="6">
        <f t="shared" si="3"/>
        <v>83486.697199999995</v>
      </c>
      <c r="E209" s="5">
        <v>23</v>
      </c>
      <c r="F209" t="s">
        <v>26</v>
      </c>
      <c r="G209" s="6">
        <v>3742.12</v>
      </c>
      <c r="H209" t="s">
        <v>30</v>
      </c>
      <c r="I209" s="7">
        <v>0.03</v>
      </c>
      <c r="J209" t="s">
        <v>27</v>
      </c>
      <c r="K209" t="s">
        <v>22</v>
      </c>
    </row>
    <row r="210" spans="1:11" x14ac:dyDescent="0.25">
      <c r="A210" s="1" t="s">
        <v>66</v>
      </c>
      <c r="B210" t="s">
        <v>38</v>
      </c>
      <c r="C210" t="s">
        <v>21</v>
      </c>
      <c r="D210" s="6">
        <f t="shared" si="3"/>
        <v>9657.730599999999</v>
      </c>
      <c r="E210" s="5">
        <v>14</v>
      </c>
      <c r="F210" t="s">
        <v>29</v>
      </c>
      <c r="G210" s="6">
        <v>831.13</v>
      </c>
      <c r="H210" t="s">
        <v>17</v>
      </c>
      <c r="I210" s="7">
        <v>0.17</v>
      </c>
      <c r="J210" t="s">
        <v>27</v>
      </c>
      <c r="K210" t="s">
        <v>22</v>
      </c>
    </row>
    <row r="211" spans="1:11" x14ac:dyDescent="0.25">
      <c r="A211" s="1" t="s">
        <v>66</v>
      </c>
      <c r="B211" t="s">
        <v>38</v>
      </c>
      <c r="C211" t="s">
        <v>15</v>
      </c>
      <c r="D211" s="6">
        <f t="shared" si="3"/>
        <v>125109.50399999955</v>
      </c>
      <c r="E211" s="5">
        <v>48</v>
      </c>
      <c r="F211" t="s">
        <v>16</v>
      </c>
      <c r="G211" s="6">
        <v>2715.0499999999902</v>
      </c>
      <c r="H211" t="s">
        <v>17</v>
      </c>
      <c r="I211" s="7">
        <v>0.04</v>
      </c>
      <c r="J211" t="s">
        <v>18</v>
      </c>
      <c r="K211" t="s">
        <v>19</v>
      </c>
    </row>
    <row r="212" spans="1:11" x14ac:dyDescent="0.25">
      <c r="A212" s="1" t="s">
        <v>66</v>
      </c>
      <c r="B212" t="s">
        <v>42</v>
      </c>
      <c r="C212" t="s">
        <v>34</v>
      </c>
      <c r="D212" s="6">
        <f t="shared" si="3"/>
        <v>138044.02500000002</v>
      </c>
      <c r="E212" s="5">
        <v>42</v>
      </c>
      <c r="F212" t="s">
        <v>35</v>
      </c>
      <c r="G212" s="6">
        <v>4382.3500000000004</v>
      </c>
      <c r="H212" t="s">
        <v>30</v>
      </c>
      <c r="I212" s="7">
        <v>0.25</v>
      </c>
      <c r="J212" t="s">
        <v>18</v>
      </c>
      <c r="K212" t="s">
        <v>22</v>
      </c>
    </row>
    <row r="213" spans="1:11" x14ac:dyDescent="0.25">
      <c r="A213" s="1" t="s">
        <v>70</v>
      </c>
      <c r="B213" t="s">
        <v>24</v>
      </c>
      <c r="C213" t="s">
        <v>25</v>
      </c>
      <c r="D213" s="6">
        <f t="shared" si="3"/>
        <v>14863.027199999999</v>
      </c>
      <c r="E213" s="5">
        <v>8</v>
      </c>
      <c r="F213" t="s">
        <v>26</v>
      </c>
      <c r="G213" s="6">
        <v>1935.29</v>
      </c>
      <c r="H213" t="s">
        <v>30</v>
      </c>
      <c r="I213" s="7">
        <v>0.04</v>
      </c>
      <c r="J213" t="s">
        <v>18</v>
      </c>
      <c r="K213" t="s">
        <v>19</v>
      </c>
    </row>
    <row r="214" spans="1:11" x14ac:dyDescent="0.25">
      <c r="A214" s="1" t="s">
        <v>66</v>
      </c>
      <c r="B214" t="s">
        <v>38</v>
      </c>
      <c r="C214" t="s">
        <v>21</v>
      </c>
      <c r="D214" s="6">
        <f t="shared" si="3"/>
        <v>103983.1572</v>
      </c>
      <c r="E214" s="5">
        <v>39</v>
      </c>
      <c r="F214" t="s">
        <v>26</v>
      </c>
      <c r="G214" s="6">
        <v>3603.02</v>
      </c>
      <c r="H214" t="s">
        <v>17</v>
      </c>
      <c r="I214" s="7">
        <v>0.26</v>
      </c>
      <c r="J214" t="s">
        <v>18</v>
      </c>
      <c r="K214" t="s">
        <v>19</v>
      </c>
    </row>
    <row r="215" spans="1:11" x14ac:dyDescent="0.25">
      <c r="A215" s="1" t="s">
        <v>66</v>
      </c>
      <c r="B215" t="s">
        <v>14</v>
      </c>
      <c r="C215" t="s">
        <v>34</v>
      </c>
      <c r="D215" s="6">
        <f t="shared" si="3"/>
        <v>74214.456799999738</v>
      </c>
      <c r="E215" s="5">
        <v>29</v>
      </c>
      <c r="F215" t="s">
        <v>16</v>
      </c>
      <c r="G215" s="6">
        <v>2908.0899999999901</v>
      </c>
      <c r="H215" t="s">
        <v>30</v>
      </c>
      <c r="I215" s="7">
        <v>0.12</v>
      </c>
      <c r="J215" t="s">
        <v>31</v>
      </c>
      <c r="K215" t="s">
        <v>19</v>
      </c>
    </row>
    <row r="216" spans="1:11" x14ac:dyDescent="0.25">
      <c r="A216" s="1" t="s">
        <v>66</v>
      </c>
      <c r="B216" t="s">
        <v>33</v>
      </c>
      <c r="C216" t="s">
        <v>25</v>
      </c>
      <c r="D216" s="6">
        <f t="shared" si="3"/>
        <v>54023.526999999995</v>
      </c>
      <c r="E216" s="5">
        <v>23</v>
      </c>
      <c r="F216" t="s">
        <v>26</v>
      </c>
      <c r="G216" s="6">
        <v>2864.45</v>
      </c>
      <c r="H216" t="s">
        <v>17</v>
      </c>
      <c r="I216" s="7">
        <v>0.18</v>
      </c>
      <c r="J216" t="s">
        <v>31</v>
      </c>
      <c r="K216" t="s">
        <v>22</v>
      </c>
    </row>
    <row r="217" spans="1:11" x14ac:dyDescent="0.25">
      <c r="A217" s="1" t="s">
        <v>73</v>
      </c>
      <c r="B217" t="s">
        <v>24</v>
      </c>
      <c r="C217" t="s">
        <v>25</v>
      </c>
      <c r="D217" s="6">
        <f t="shared" si="3"/>
        <v>15751.731000000002</v>
      </c>
      <c r="E217" s="5">
        <v>15</v>
      </c>
      <c r="F217" t="s">
        <v>29</v>
      </c>
      <c r="G217" s="6">
        <v>1329.26</v>
      </c>
      <c r="H217" t="s">
        <v>30</v>
      </c>
      <c r="I217" s="7">
        <v>0.21</v>
      </c>
      <c r="J217" t="s">
        <v>18</v>
      </c>
      <c r="K217" t="s">
        <v>19</v>
      </c>
    </row>
    <row r="218" spans="1:11" x14ac:dyDescent="0.25">
      <c r="A218" s="1" t="s">
        <v>66</v>
      </c>
      <c r="B218" t="s">
        <v>38</v>
      </c>
      <c r="C218" t="s">
        <v>25</v>
      </c>
      <c r="D218" s="6">
        <f t="shared" si="3"/>
        <v>164684.08439999999</v>
      </c>
      <c r="E218" s="5">
        <v>37</v>
      </c>
      <c r="F218" t="s">
        <v>29</v>
      </c>
      <c r="G218" s="6">
        <v>4495.88</v>
      </c>
      <c r="H218" t="s">
        <v>17</v>
      </c>
      <c r="I218" s="7">
        <v>0.01</v>
      </c>
      <c r="J218" t="s">
        <v>27</v>
      </c>
      <c r="K218" t="s">
        <v>19</v>
      </c>
    </row>
    <row r="219" spans="1:11" x14ac:dyDescent="0.25">
      <c r="A219" s="1" t="s">
        <v>66</v>
      </c>
      <c r="B219" t="s">
        <v>14</v>
      </c>
      <c r="C219" t="s">
        <v>25</v>
      </c>
      <c r="D219" s="6">
        <f t="shared" si="3"/>
        <v>50044.176000000007</v>
      </c>
      <c r="E219" s="5">
        <v>18</v>
      </c>
      <c r="F219" t="s">
        <v>26</v>
      </c>
      <c r="G219" s="6">
        <v>3475.29</v>
      </c>
      <c r="H219" t="s">
        <v>17</v>
      </c>
      <c r="I219" s="7">
        <v>0.2</v>
      </c>
      <c r="J219" t="s">
        <v>27</v>
      </c>
      <c r="K219" t="s">
        <v>19</v>
      </c>
    </row>
    <row r="220" spans="1:11" x14ac:dyDescent="0.25">
      <c r="A220" s="1" t="s">
        <v>66</v>
      </c>
      <c r="B220" t="s">
        <v>42</v>
      </c>
      <c r="C220" t="s">
        <v>25</v>
      </c>
      <c r="D220" s="6">
        <f t="shared" si="3"/>
        <v>52321.457999999686</v>
      </c>
      <c r="E220" s="5">
        <v>35</v>
      </c>
      <c r="F220" t="s">
        <v>35</v>
      </c>
      <c r="G220" s="6">
        <v>1624.8899999999901</v>
      </c>
      <c r="H220" t="s">
        <v>30</v>
      </c>
      <c r="I220" s="7">
        <v>0.08</v>
      </c>
      <c r="J220" t="s">
        <v>31</v>
      </c>
      <c r="K220" t="s">
        <v>19</v>
      </c>
    </row>
    <row r="221" spans="1:11" x14ac:dyDescent="0.25">
      <c r="A221" s="1" t="s">
        <v>66</v>
      </c>
      <c r="B221" t="s">
        <v>42</v>
      </c>
      <c r="C221" t="s">
        <v>34</v>
      </c>
      <c r="D221" s="6">
        <f t="shared" si="3"/>
        <v>63168.1512</v>
      </c>
      <c r="E221" s="5">
        <v>24</v>
      </c>
      <c r="F221" t="s">
        <v>26</v>
      </c>
      <c r="G221" s="6">
        <v>3418.19</v>
      </c>
      <c r="H221" t="s">
        <v>17</v>
      </c>
      <c r="I221" s="7">
        <v>0.23</v>
      </c>
      <c r="J221" t="s">
        <v>27</v>
      </c>
      <c r="K221" t="s">
        <v>22</v>
      </c>
    </row>
    <row r="222" spans="1:11" x14ac:dyDescent="0.25">
      <c r="A222" s="1" t="s">
        <v>65</v>
      </c>
      <c r="B222" t="s">
        <v>24</v>
      </c>
      <c r="C222" t="s">
        <v>25</v>
      </c>
      <c r="D222" s="6">
        <f t="shared" si="3"/>
        <v>16652.480000000003</v>
      </c>
      <c r="E222" s="5">
        <v>26</v>
      </c>
      <c r="F222" t="s">
        <v>16</v>
      </c>
      <c r="G222" s="6">
        <v>800.6</v>
      </c>
      <c r="H222" t="s">
        <v>17</v>
      </c>
      <c r="I222" s="7">
        <v>0.2</v>
      </c>
      <c r="J222" t="s">
        <v>18</v>
      </c>
      <c r="K222" t="s">
        <v>19</v>
      </c>
    </row>
    <row r="223" spans="1:11" x14ac:dyDescent="0.25">
      <c r="A223" s="1" t="s">
        <v>66</v>
      </c>
      <c r="B223" t="s">
        <v>33</v>
      </c>
      <c r="C223" t="s">
        <v>15</v>
      </c>
      <c r="D223" s="6">
        <f t="shared" si="3"/>
        <v>14038.596800000003</v>
      </c>
      <c r="E223" s="5">
        <v>4</v>
      </c>
      <c r="F223" t="s">
        <v>16</v>
      </c>
      <c r="G223" s="6">
        <v>4280.0600000000004</v>
      </c>
      <c r="H223" t="s">
        <v>17</v>
      </c>
      <c r="I223" s="7">
        <v>0.18</v>
      </c>
      <c r="J223" t="s">
        <v>27</v>
      </c>
      <c r="K223" t="s">
        <v>19</v>
      </c>
    </row>
    <row r="224" spans="1:11" x14ac:dyDescent="0.25">
      <c r="A224" s="1" t="s">
        <v>66</v>
      </c>
      <c r="B224" t="s">
        <v>14</v>
      </c>
      <c r="C224" t="s">
        <v>25</v>
      </c>
      <c r="D224" s="6">
        <f t="shared" si="3"/>
        <v>30160.072800000002</v>
      </c>
      <c r="E224" s="5">
        <v>11</v>
      </c>
      <c r="F224" t="s">
        <v>29</v>
      </c>
      <c r="G224" s="6">
        <v>2769.52</v>
      </c>
      <c r="H224" t="s">
        <v>17</v>
      </c>
      <c r="I224" s="7">
        <v>0.01</v>
      </c>
      <c r="J224" t="s">
        <v>27</v>
      </c>
      <c r="K224" t="s">
        <v>22</v>
      </c>
    </row>
    <row r="225" spans="1:13" x14ac:dyDescent="0.25">
      <c r="A225" s="1" t="s">
        <v>73</v>
      </c>
      <c r="B225" t="s">
        <v>24</v>
      </c>
      <c r="C225" t="s">
        <v>15</v>
      </c>
      <c r="D225" s="6">
        <f t="shared" si="3"/>
        <v>16963.631999999998</v>
      </c>
      <c r="E225" s="5">
        <v>14</v>
      </c>
      <c r="F225" t="s">
        <v>35</v>
      </c>
      <c r="G225" s="6">
        <v>1514.61</v>
      </c>
      <c r="H225" t="s">
        <v>30</v>
      </c>
      <c r="I225" s="7">
        <v>0.2</v>
      </c>
      <c r="J225" t="s">
        <v>31</v>
      </c>
      <c r="K225" t="s">
        <v>22</v>
      </c>
    </row>
    <row r="226" spans="1:13" x14ac:dyDescent="0.25">
      <c r="A226" s="1" t="s">
        <v>66</v>
      </c>
      <c r="B226" t="s">
        <v>38</v>
      </c>
      <c r="C226" t="s">
        <v>34</v>
      </c>
      <c r="D226" s="6">
        <f t="shared" si="3"/>
        <v>56917.616000000002</v>
      </c>
      <c r="E226" s="5">
        <v>49</v>
      </c>
      <c r="F226" t="s">
        <v>16</v>
      </c>
      <c r="G226" s="6">
        <v>1528.4</v>
      </c>
      <c r="H226" t="s">
        <v>17</v>
      </c>
      <c r="I226" s="7">
        <v>0.24</v>
      </c>
      <c r="J226" t="s">
        <v>18</v>
      </c>
      <c r="K226" t="s">
        <v>22</v>
      </c>
    </row>
    <row r="227" spans="1:13" x14ac:dyDescent="0.25">
      <c r="A227" s="1" t="s">
        <v>66</v>
      </c>
      <c r="B227" t="s">
        <v>38</v>
      </c>
      <c r="C227" t="s">
        <v>34</v>
      </c>
      <c r="D227" s="6">
        <f t="shared" si="3"/>
        <v>55105.319999999992</v>
      </c>
      <c r="E227" s="5">
        <v>16</v>
      </c>
      <c r="F227" t="s">
        <v>35</v>
      </c>
      <c r="G227" s="6">
        <v>3625.35</v>
      </c>
      <c r="H227" t="s">
        <v>17</v>
      </c>
      <c r="I227" s="7">
        <v>0.05</v>
      </c>
      <c r="J227" t="s">
        <v>31</v>
      </c>
      <c r="K227" t="s">
        <v>22</v>
      </c>
    </row>
    <row r="228" spans="1:13" x14ac:dyDescent="0.25">
      <c r="A228" s="1" t="s">
        <v>66</v>
      </c>
      <c r="B228" t="s">
        <v>33</v>
      </c>
      <c r="C228" t="s">
        <v>25</v>
      </c>
      <c r="D228" s="6">
        <f t="shared" si="3"/>
        <v>43803.93</v>
      </c>
      <c r="E228" s="5">
        <v>10</v>
      </c>
      <c r="F228" t="s">
        <v>29</v>
      </c>
      <c r="G228" s="6">
        <v>4710.1000000000004</v>
      </c>
      <c r="H228" t="s">
        <v>30</v>
      </c>
      <c r="I228" s="7">
        <v>7.0000000000000007E-2</v>
      </c>
      <c r="J228" t="s">
        <v>31</v>
      </c>
      <c r="K228" t="s">
        <v>19</v>
      </c>
    </row>
    <row r="229" spans="1:13" x14ac:dyDescent="0.25">
      <c r="A229" s="1" t="s">
        <v>66</v>
      </c>
      <c r="B229" t="s">
        <v>38</v>
      </c>
      <c r="C229" t="s">
        <v>25</v>
      </c>
      <c r="D229" s="6">
        <f t="shared" si="3"/>
        <v>85227.520000000004</v>
      </c>
      <c r="E229" s="5">
        <v>40</v>
      </c>
      <c r="F229" t="s">
        <v>16</v>
      </c>
      <c r="G229" s="6">
        <v>2598.4</v>
      </c>
      <c r="H229" t="s">
        <v>17</v>
      </c>
      <c r="I229" s="7">
        <v>0.18</v>
      </c>
      <c r="J229" t="s">
        <v>31</v>
      </c>
      <c r="K229" t="s">
        <v>22</v>
      </c>
    </row>
    <row r="230" spans="1:13" x14ac:dyDescent="0.25">
      <c r="A230" s="1" t="s">
        <v>66</v>
      </c>
      <c r="B230" t="s">
        <v>33</v>
      </c>
      <c r="C230" t="s">
        <v>34</v>
      </c>
      <c r="D230" s="6">
        <f t="shared" si="3"/>
        <v>55023.040800000002</v>
      </c>
      <c r="E230" s="5">
        <v>12</v>
      </c>
      <c r="F230" t="s">
        <v>29</v>
      </c>
      <c r="G230" s="6">
        <v>5038.74</v>
      </c>
      <c r="H230" t="s">
        <v>30</v>
      </c>
      <c r="I230" s="7">
        <v>0.09</v>
      </c>
      <c r="J230" t="s">
        <v>31</v>
      </c>
      <c r="K230" t="s">
        <v>22</v>
      </c>
    </row>
    <row r="231" spans="1:13" x14ac:dyDescent="0.25">
      <c r="A231" s="1" t="s">
        <v>66</v>
      </c>
      <c r="B231" t="s">
        <v>42</v>
      </c>
      <c r="C231" t="s">
        <v>34</v>
      </c>
      <c r="D231" s="6">
        <f t="shared" si="3"/>
        <v>75371.743999999992</v>
      </c>
      <c r="E231" s="5">
        <v>34</v>
      </c>
      <c r="F231" t="s">
        <v>29</v>
      </c>
      <c r="G231" s="6">
        <v>2771.02</v>
      </c>
      <c r="H231" t="s">
        <v>30</v>
      </c>
      <c r="I231" s="7">
        <v>0.2</v>
      </c>
      <c r="J231" t="s">
        <v>27</v>
      </c>
      <c r="K231" t="s">
        <v>19</v>
      </c>
    </row>
    <row r="232" spans="1:13" x14ac:dyDescent="0.25">
      <c r="A232" s="1" t="s">
        <v>66</v>
      </c>
      <c r="B232" t="s">
        <v>38</v>
      </c>
      <c r="C232" t="s">
        <v>34</v>
      </c>
      <c r="D232" s="6">
        <f t="shared" si="3"/>
        <v>99764.313599999994</v>
      </c>
      <c r="E232" s="5">
        <v>32</v>
      </c>
      <c r="F232" t="s">
        <v>29</v>
      </c>
      <c r="G232" s="6">
        <v>3711.47</v>
      </c>
      <c r="H232" t="s">
        <v>30</v>
      </c>
      <c r="I232" s="7">
        <v>0.16</v>
      </c>
      <c r="J232" t="s">
        <v>18</v>
      </c>
      <c r="K232" t="s">
        <v>22</v>
      </c>
    </row>
    <row r="233" spans="1:13" x14ac:dyDescent="0.25">
      <c r="A233" s="1" t="s">
        <v>70</v>
      </c>
      <c r="B233" t="s">
        <v>24</v>
      </c>
      <c r="C233" t="s">
        <v>15</v>
      </c>
      <c r="D233" s="6">
        <f t="shared" si="3"/>
        <v>17266.290999999997</v>
      </c>
      <c r="E233" s="5">
        <v>14</v>
      </c>
      <c r="F233" t="s">
        <v>35</v>
      </c>
      <c r="G233" s="6">
        <v>1271.45</v>
      </c>
      <c r="H233" t="s">
        <v>17</v>
      </c>
      <c r="I233" s="7">
        <v>0.03</v>
      </c>
      <c r="J233" t="s">
        <v>27</v>
      </c>
      <c r="K233" t="s">
        <v>22</v>
      </c>
    </row>
    <row r="234" spans="1:13" x14ac:dyDescent="0.25">
      <c r="A234" s="1" t="s">
        <v>66</v>
      </c>
      <c r="B234" t="s">
        <v>24</v>
      </c>
      <c r="C234" t="s">
        <v>34</v>
      </c>
      <c r="D234" s="6">
        <f t="shared" si="3"/>
        <v>17567.659200000002</v>
      </c>
      <c r="E234" s="5">
        <v>14</v>
      </c>
      <c r="F234" t="s">
        <v>16</v>
      </c>
      <c r="G234" s="6">
        <v>1608.76</v>
      </c>
      <c r="H234" t="s">
        <v>30</v>
      </c>
      <c r="I234" s="7">
        <v>0.22</v>
      </c>
      <c r="J234" t="s">
        <v>18</v>
      </c>
      <c r="K234" t="s">
        <v>22</v>
      </c>
    </row>
    <row r="235" spans="1:13" x14ac:dyDescent="0.25">
      <c r="A235" s="1" t="s">
        <v>66</v>
      </c>
      <c r="B235" t="s">
        <v>33</v>
      </c>
      <c r="C235" t="s">
        <v>34</v>
      </c>
      <c r="D235" s="6">
        <f t="shared" si="3"/>
        <v>141763.02799999999</v>
      </c>
      <c r="E235" s="5">
        <v>44</v>
      </c>
      <c r="F235" t="s">
        <v>35</v>
      </c>
      <c r="G235" s="6">
        <v>3391.46</v>
      </c>
      <c r="H235" t="s">
        <v>30</v>
      </c>
      <c r="I235" s="7">
        <v>0.05</v>
      </c>
      <c r="J235" t="s">
        <v>31</v>
      </c>
      <c r="K235" t="s">
        <v>22</v>
      </c>
    </row>
    <row r="236" spans="1:13" x14ac:dyDescent="0.25">
      <c r="A236" s="1" t="s">
        <v>66</v>
      </c>
      <c r="B236" t="s">
        <v>14</v>
      </c>
      <c r="C236" t="s">
        <v>34</v>
      </c>
      <c r="D236" s="6">
        <f t="shared" si="3"/>
        <v>9193.3740000000016</v>
      </c>
      <c r="E236" s="5">
        <v>2</v>
      </c>
      <c r="F236" t="s">
        <v>16</v>
      </c>
      <c r="G236" s="6">
        <v>5107.43</v>
      </c>
      <c r="H236" t="s">
        <v>17</v>
      </c>
      <c r="I236" s="7">
        <v>0.1</v>
      </c>
      <c r="J236" t="s">
        <v>18</v>
      </c>
      <c r="K236" t="s">
        <v>19</v>
      </c>
    </row>
    <row r="237" spans="1:13" x14ac:dyDescent="0.25">
      <c r="A237" s="1" t="s">
        <v>65</v>
      </c>
      <c r="B237" t="s">
        <v>24</v>
      </c>
      <c r="C237" t="s">
        <v>15</v>
      </c>
      <c r="D237" s="6">
        <f t="shared" si="3"/>
        <v>17819.687999999998</v>
      </c>
      <c r="E237" s="5">
        <v>5</v>
      </c>
      <c r="F237" t="s">
        <v>16</v>
      </c>
      <c r="G237" s="6">
        <v>4096.4799999999996</v>
      </c>
      <c r="H237" t="s">
        <v>17</v>
      </c>
      <c r="I237" s="7">
        <v>0.13</v>
      </c>
      <c r="J237" t="s">
        <v>18</v>
      </c>
      <c r="K237" t="s">
        <v>22</v>
      </c>
    </row>
    <row r="238" spans="1:13" x14ac:dyDescent="0.25">
      <c r="A238" s="1" t="s">
        <v>67</v>
      </c>
      <c r="B238" t="s">
        <v>24</v>
      </c>
      <c r="C238" t="s">
        <v>34</v>
      </c>
      <c r="D238" s="6">
        <f t="shared" si="3"/>
        <v>18118.672000000002</v>
      </c>
      <c r="E238" s="5">
        <v>5</v>
      </c>
      <c r="F238" t="s">
        <v>26</v>
      </c>
      <c r="G238" s="6">
        <v>4117.88</v>
      </c>
      <c r="H238" t="s">
        <v>17</v>
      </c>
      <c r="I238" s="7">
        <v>0.12</v>
      </c>
      <c r="J238" t="s">
        <v>31</v>
      </c>
      <c r="K238" t="s">
        <v>22</v>
      </c>
      <c r="M238" s="10"/>
    </row>
    <row r="239" spans="1:13" x14ac:dyDescent="0.25">
      <c r="A239" s="1" t="s">
        <v>66</v>
      </c>
      <c r="B239" t="s">
        <v>14</v>
      </c>
      <c r="C239" t="s">
        <v>34</v>
      </c>
      <c r="D239" s="6">
        <f t="shared" si="3"/>
        <v>1415.5835999999999</v>
      </c>
      <c r="E239" s="5">
        <v>1</v>
      </c>
      <c r="F239" t="s">
        <v>29</v>
      </c>
      <c r="G239" s="6">
        <v>1862.61</v>
      </c>
      <c r="H239" t="s">
        <v>17</v>
      </c>
      <c r="I239" s="7">
        <v>0.24</v>
      </c>
      <c r="J239" t="s">
        <v>18</v>
      </c>
      <c r="K239" t="s">
        <v>22</v>
      </c>
    </row>
    <row r="240" spans="1:13" x14ac:dyDescent="0.25">
      <c r="A240" s="1" t="s">
        <v>66</v>
      </c>
      <c r="B240" t="s">
        <v>42</v>
      </c>
      <c r="C240" t="s">
        <v>15</v>
      </c>
      <c r="D240" s="6">
        <f t="shared" si="3"/>
        <v>90549.186000000002</v>
      </c>
      <c r="E240" s="5">
        <v>20</v>
      </c>
      <c r="F240" t="s">
        <v>35</v>
      </c>
      <c r="G240" s="6">
        <v>4975.2299999999996</v>
      </c>
      <c r="H240" t="s">
        <v>30</v>
      </c>
      <c r="I240" s="7">
        <v>0.09</v>
      </c>
      <c r="J240" t="s">
        <v>31</v>
      </c>
      <c r="K240" t="s">
        <v>19</v>
      </c>
    </row>
    <row r="241" spans="1:13" x14ac:dyDescent="0.25">
      <c r="A241" s="1" t="s">
        <v>66</v>
      </c>
      <c r="B241" t="s">
        <v>33</v>
      </c>
      <c r="C241" t="s">
        <v>21</v>
      </c>
      <c r="D241" s="6">
        <f t="shared" si="3"/>
        <v>85677.002999999997</v>
      </c>
      <c r="E241" s="5">
        <v>45</v>
      </c>
      <c r="F241" t="s">
        <v>26</v>
      </c>
      <c r="G241" s="6">
        <v>2321.87</v>
      </c>
      <c r="H241" t="s">
        <v>30</v>
      </c>
      <c r="I241" s="7">
        <v>0.18</v>
      </c>
      <c r="J241" t="s">
        <v>27</v>
      </c>
      <c r="K241" t="s">
        <v>22</v>
      </c>
    </row>
    <row r="242" spans="1:13" x14ac:dyDescent="0.25">
      <c r="A242" s="1" t="s">
        <v>66</v>
      </c>
      <c r="B242" t="s">
        <v>14</v>
      </c>
      <c r="C242" t="s">
        <v>34</v>
      </c>
      <c r="D242" s="6">
        <f t="shared" si="3"/>
        <v>88559.987999999998</v>
      </c>
      <c r="E242" s="5">
        <v>19</v>
      </c>
      <c r="F242" t="s">
        <v>35</v>
      </c>
      <c r="G242" s="6">
        <v>5296.65</v>
      </c>
      <c r="H242" t="s">
        <v>30</v>
      </c>
      <c r="I242" s="7">
        <v>0.12</v>
      </c>
      <c r="J242" t="s">
        <v>27</v>
      </c>
      <c r="K242" t="s">
        <v>19</v>
      </c>
    </row>
    <row r="243" spans="1:13" x14ac:dyDescent="0.25">
      <c r="A243" s="1" t="s">
        <v>71</v>
      </c>
      <c r="B243" t="s">
        <v>24</v>
      </c>
      <c r="C243" t="s">
        <v>15</v>
      </c>
      <c r="D243" s="6">
        <f t="shared" si="3"/>
        <v>18191.956000000002</v>
      </c>
      <c r="E243" s="5">
        <v>10</v>
      </c>
      <c r="F243" t="s">
        <v>16</v>
      </c>
      <c r="G243" s="6">
        <v>2044.04</v>
      </c>
      <c r="H243" t="s">
        <v>30</v>
      </c>
      <c r="I243" s="7">
        <v>0.11</v>
      </c>
      <c r="J243" t="s">
        <v>18</v>
      </c>
      <c r="K243" t="s">
        <v>19</v>
      </c>
    </row>
    <row r="244" spans="1:13" x14ac:dyDescent="0.25">
      <c r="A244" s="1" t="s">
        <v>66</v>
      </c>
      <c r="B244" t="s">
        <v>14</v>
      </c>
      <c r="C244" t="s">
        <v>15</v>
      </c>
      <c r="D244" s="6">
        <f t="shared" si="3"/>
        <v>57545.831999999995</v>
      </c>
      <c r="E244" s="5">
        <v>20</v>
      </c>
      <c r="F244" t="s">
        <v>35</v>
      </c>
      <c r="G244" s="6">
        <v>3785.91</v>
      </c>
      <c r="H244" t="s">
        <v>30</v>
      </c>
      <c r="I244" s="7">
        <v>0.24</v>
      </c>
      <c r="J244" t="s">
        <v>27</v>
      </c>
      <c r="K244" t="s">
        <v>19</v>
      </c>
    </row>
    <row r="245" spans="1:13" x14ac:dyDescent="0.25">
      <c r="A245" s="1" t="s">
        <v>66</v>
      </c>
      <c r="B245" t="s">
        <v>42</v>
      </c>
      <c r="C245" t="s">
        <v>15</v>
      </c>
      <c r="D245" s="6">
        <f t="shared" si="3"/>
        <v>83968.11540000001</v>
      </c>
      <c r="E245" s="5">
        <v>39</v>
      </c>
      <c r="F245" t="s">
        <v>26</v>
      </c>
      <c r="G245" s="6">
        <v>2658.06</v>
      </c>
      <c r="H245" t="s">
        <v>30</v>
      </c>
      <c r="I245" s="7">
        <v>0.19</v>
      </c>
      <c r="J245" t="s">
        <v>31</v>
      </c>
      <c r="K245" t="s">
        <v>22</v>
      </c>
    </row>
    <row r="246" spans="1:13" x14ac:dyDescent="0.25">
      <c r="A246" s="1" t="s">
        <v>66</v>
      </c>
      <c r="B246" t="s">
        <v>42</v>
      </c>
      <c r="C246" t="s">
        <v>25</v>
      </c>
      <c r="D246" s="6">
        <f t="shared" si="3"/>
        <v>60155.28119999999</v>
      </c>
      <c r="E246" s="5">
        <v>49</v>
      </c>
      <c r="F246" t="s">
        <v>26</v>
      </c>
      <c r="G246" s="6">
        <v>1306.02</v>
      </c>
      <c r="H246" t="s">
        <v>30</v>
      </c>
      <c r="I246" s="7">
        <v>0.06</v>
      </c>
      <c r="J246" t="s">
        <v>31</v>
      </c>
      <c r="K246" t="s">
        <v>22</v>
      </c>
    </row>
    <row r="247" spans="1:13" x14ac:dyDescent="0.25">
      <c r="A247" s="1" t="s">
        <v>66</v>
      </c>
      <c r="B247" t="s">
        <v>14</v>
      </c>
      <c r="C247" t="s">
        <v>15</v>
      </c>
      <c r="D247" s="6">
        <f t="shared" si="3"/>
        <v>98096.796000000002</v>
      </c>
      <c r="E247" s="5">
        <v>28</v>
      </c>
      <c r="F247" t="s">
        <v>29</v>
      </c>
      <c r="G247" s="6">
        <v>3892.73</v>
      </c>
      <c r="H247" t="s">
        <v>17</v>
      </c>
      <c r="I247" s="7">
        <v>0.1</v>
      </c>
      <c r="J247" t="s">
        <v>18</v>
      </c>
      <c r="K247" t="s">
        <v>22</v>
      </c>
    </row>
    <row r="248" spans="1:13" x14ac:dyDescent="0.25">
      <c r="A248" s="1" t="s">
        <v>66</v>
      </c>
      <c r="B248" t="s">
        <v>38</v>
      </c>
      <c r="C248" t="s">
        <v>25</v>
      </c>
      <c r="D248" s="6">
        <f t="shared" si="3"/>
        <v>98099.987999999998</v>
      </c>
      <c r="E248" s="5">
        <v>40</v>
      </c>
      <c r="F248" t="s">
        <v>26</v>
      </c>
      <c r="G248" s="6">
        <v>3104.43</v>
      </c>
      <c r="H248" t="s">
        <v>30</v>
      </c>
      <c r="I248" s="7">
        <v>0.21</v>
      </c>
      <c r="J248" t="s">
        <v>27</v>
      </c>
      <c r="K248" t="s">
        <v>19</v>
      </c>
    </row>
    <row r="249" spans="1:13" x14ac:dyDescent="0.25">
      <c r="A249" s="1" t="s">
        <v>72</v>
      </c>
      <c r="B249" t="s">
        <v>24</v>
      </c>
      <c r="C249" t="s">
        <v>21</v>
      </c>
      <c r="D249" s="6">
        <f t="shared" si="3"/>
        <v>18203.885700000003</v>
      </c>
      <c r="E249" s="5">
        <v>13</v>
      </c>
      <c r="F249" t="s">
        <v>26</v>
      </c>
      <c r="G249" s="6">
        <v>1538.79</v>
      </c>
      <c r="H249" t="s">
        <v>17</v>
      </c>
      <c r="I249" s="7">
        <v>0.09</v>
      </c>
      <c r="J249" t="s">
        <v>27</v>
      </c>
      <c r="K249" t="s">
        <v>22</v>
      </c>
    </row>
    <row r="250" spans="1:13" x14ac:dyDescent="0.25">
      <c r="A250" s="1" t="s">
        <v>66</v>
      </c>
      <c r="B250" t="s">
        <v>38</v>
      </c>
      <c r="C250" t="s">
        <v>25</v>
      </c>
      <c r="D250" s="6">
        <f t="shared" si="3"/>
        <v>58239.827799999999</v>
      </c>
      <c r="E250" s="5">
        <v>43</v>
      </c>
      <c r="F250" t="s">
        <v>16</v>
      </c>
      <c r="G250" s="6">
        <v>1758.98</v>
      </c>
      <c r="H250" t="s">
        <v>17</v>
      </c>
      <c r="I250" s="7">
        <v>0.23</v>
      </c>
      <c r="J250" t="s">
        <v>27</v>
      </c>
      <c r="K250" t="s">
        <v>22</v>
      </c>
    </row>
    <row r="251" spans="1:13" x14ac:dyDescent="0.25">
      <c r="A251" s="1" t="s">
        <v>67</v>
      </c>
      <c r="B251" t="s">
        <v>24</v>
      </c>
      <c r="C251" t="s">
        <v>25</v>
      </c>
      <c r="D251" s="6">
        <f t="shared" si="3"/>
        <v>18257.84</v>
      </c>
      <c r="E251" s="5">
        <v>10</v>
      </c>
      <c r="F251" t="s">
        <v>35</v>
      </c>
      <c r="G251" s="6">
        <v>2282.23</v>
      </c>
      <c r="H251" t="s">
        <v>17</v>
      </c>
      <c r="I251" s="7">
        <v>0.2</v>
      </c>
      <c r="J251" t="s">
        <v>31</v>
      </c>
      <c r="K251" t="s">
        <v>19</v>
      </c>
      <c r="M251" s="10"/>
    </row>
    <row r="252" spans="1:13" x14ac:dyDescent="0.25">
      <c r="A252" s="1" t="s">
        <v>67</v>
      </c>
      <c r="B252" t="s">
        <v>24</v>
      </c>
      <c r="C252" t="s">
        <v>15</v>
      </c>
      <c r="D252" s="6">
        <f t="shared" si="3"/>
        <v>18627.723999999853</v>
      </c>
      <c r="E252" s="5">
        <v>20</v>
      </c>
      <c r="F252" t="s">
        <v>16</v>
      </c>
      <c r="G252" s="6">
        <v>1258.6299999999901</v>
      </c>
      <c r="H252" t="s">
        <v>17</v>
      </c>
      <c r="I252" s="7">
        <v>0.26</v>
      </c>
      <c r="J252" t="s">
        <v>27</v>
      </c>
      <c r="K252" t="s">
        <v>19</v>
      </c>
      <c r="M252" s="10"/>
    </row>
    <row r="253" spans="1:13" x14ac:dyDescent="0.25">
      <c r="A253" s="1" t="s">
        <v>66</v>
      </c>
      <c r="B253" t="s">
        <v>14</v>
      </c>
      <c r="C253" t="s">
        <v>21</v>
      </c>
      <c r="D253" s="6">
        <f t="shared" si="3"/>
        <v>26149.41</v>
      </c>
      <c r="E253" s="5">
        <v>14</v>
      </c>
      <c r="F253" t="s">
        <v>29</v>
      </c>
      <c r="G253" s="6">
        <v>2075.35</v>
      </c>
      <c r="H253" t="s">
        <v>17</v>
      </c>
      <c r="I253" s="7">
        <v>0.1</v>
      </c>
      <c r="J253" t="s">
        <v>31</v>
      </c>
      <c r="K253" t="s">
        <v>22</v>
      </c>
    </row>
    <row r="254" spans="1:13" x14ac:dyDescent="0.25">
      <c r="A254" s="1" t="s">
        <v>66</v>
      </c>
      <c r="B254" t="s">
        <v>38</v>
      </c>
      <c r="C254" t="s">
        <v>34</v>
      </c>
      <c r="D254" s="6">
        <f t="shared" si="3"/>
        <v>16557.279200000001</v>
      </c>
      <c r="E254" s="5">
        <v>17</v>
      </c>
      <c r="F254" t="s">
        <v>35</v>
      </c>
      <c r="G254" s="6">
        <v>1004.08</v>
      </c>
      <c r="H254" t="s">
        <v>17</v>
      </c>
      <c r="I254" s="7">
        <v>0.03</v>
      </c>
      <c r="J254" t="s">
        <v>31</v>
      </c>
      <c r="K254" t="s">
        <v>19</v>
      </c>
    </row>
    <row r="255" spans="1:13" x14ac:dyDescent="0.25">
      <c r="A255" s="1" t="s">
        <v>66</v>
      </c>
      <c r="B255" t="s">
        <v>33</v>
      </c>
      <c r="C255" t="s">
        <v>25</v>
      </c>
      <c r="D255" s="6">
        <f t="shared" si="3"/>
        <v>61721.351999999635</v>
      </c>
      <c r="E255" s="5">
        <v>42</v>
      </c>
      <c r="F255" t="s">
        <v>26</v>
      </c>
      <c r="G255" s="6">
        <v>1669.94999999999</v>
      </c>
      <c r="H255" t="s">
        <v>17</v>
      </c>
      <c r="I255" s="7">
        <v>0.12</v>
      </c>
      <c r="J255" t="s">
        <v>27</v>
      </c>
      <c r="K255" t="s">
        <v>22</v>
      </c>
    </row>
    <row r="256" spans="1:13" x14ac:dyDescent="0.25">
      <c r="A256" s="1" t="s">
        <v>66</v>
      </c>
      <c r="B256" t="s">
        <v>38</v>
      </c>
      <c r="C256" t="s">
        <v>21</v>
      </c>
      <c r="D256" s="6">
        <f t="shared" si="3"/>
        <v>72021.272400000002</v>
      </c>
      <c r="E256" s="5">
        <v>33</v>
      </c>
      <c r="F256" t="s">
        <v>29</v>
      </c>
      <c r="G256" s="6">
        <v>2661.54</v>
      </c>
      <c r="H256" t="s">
        <v>30</v>
      </c>
      <c r="I256" s="7">
        <v>0.18</v>
      </c>
      <c r="J256" t="s">
        <v>27</v>
      </c>
      <c r="K256" t="s">
        <v>19</v>
      </c>
    </row>
    <row r="257" spans="1:11" x14ac:dyDescent="0.25">
      <c r="A257" s="1" t="s">
        <v>63</v>
      </c>
      <c r="B257" t="s">
        <v>14</v>
      </c>
      <c r="C257" t="s">
        <v>21</v>
      </c>
      <c r="D257" s="6">
        <f t="shared" si="3"/>
        <v>63688.8272</v>
      </c>
      <c r="E257" s="5">
        <v>17</v>
      </c>
      <c r="F257" t="s">
        <v>16</v>
      </c>
      <c r="G257" s="6">
        <v>4209.4399999999996</v>
      </c>
      <c r="H257" t="s">
        <v>17</v>
      </c>
      <c r="I257" s="7">
        <v>0.11</v>
      </c>
      <c r="J257" t="s">
        <v>18</v>
      </c>
      <c r="K257" t="s">
        <v>22</v>
      </c>
    </row>
    <row r="258" spans="1:11" x14ac:dyDescent="0.25">
      <c r="A258" s="1" t="s">
        <v>63</v>
      </c>
      <c r="B258" t="s">
        <v>14</v>
      </c>
      <c r="C258" t="s">
        <v>21</v>
      </c>
      <c r="D258" s="6">
        <f t="shared" ref="D258:D321" si="4">(Unit_Price*Qty_Sold)*(1-Discount)</f>
        <v>65444.804600000003</v>
      </c>
      <c r="E258" s="5">
        <v>29</v>
      </c>
      <c r="F258" t="s">
        <v>16</v>
      </c>
      <c r="G258" s="6">
        <v>2624.09</v>
      </c>
      <c r="H258" t="s">
        <v>17</v>
      </c>
      <c r="I258" s="7">
        <v>0.14000000000000001</v>
      </c>
      <c r="J258" t="s">
        <v>18</v>
      </c>
      <c r="K258" t="s">
        <v>19</v>
      </c>
    </row>
    <row r="259" spans="1:11" x14ac:dyDescent="0.25">
      <c r="A259" s="1" t="s">
        <v>63</v>
      </c>
      <c r="B259" t="s">
        <v>38</v>
      </c>
      <c r="C259" t="s">
        <v>15</v>
      </c>
      <c r="D259" s="6">
        <f t="shared" si="4"/>
        <v>32760.705600000005</v>
      </c>
      <c r="E259" s="5">
        <v>9</v>
      </c>
      <c r="F259" t="s">
        <v>35</v>
      </c>
      <c r="G259" s="6">
        <v>4439.12</v>
      </c>
      <c r="H259" t="s">
        <v>30</v>
      </c>
      <c r="I259" s="7">
        <v>0.18</v>
      </c>
      <c r="J259" t="s">
        <v>27</v>
      </c>
      <c r="K259" t="s">
        <v>19</v>
      </c>
    </row>
    <row r="260" spans="1:11" x14ac:dyDescent="0.25">
      <c r="A260" s="1" t="s">
        <v>63</v>
      </c>
      <c r="B260" t="s">
        <v>42</v>
      </c>
      <c r="C260" t="s">
        <v>15</v>
      </c>
      <c r="D260" s="6">
        <f t="shared" si="4"/>
        <v>33276.553199999995</v>
      </c>
      <c r="E260" s="5">
        <v>33</v>
      </c>
      <c r="F260" t="s">
        <v>16</v>
      </c>
      <c r="G260" s="6">
        <v>1084.28</v>
      </c>
      <c r="H260" t="s">
        <v>17</v>
      </c>
      <c r="I260" s="7">
        <v>7.0000000000000007E-2</v>
      </c>
      <c r="J260" t="s">
        <v>27</v>
      </c>
      <c r="K260" t="s">
        <v>22</v>
      </c>
    </row>
    <row r="261" spans="1:11" x14ac:dyDescent="0.25">
      <c r="A261" s="1" t="s">
        <v>63</v>
      </c>
      <c r="B261" t="s">
        <v>33</v>
      </c>
      <c r="C261" t="s">
        <v>25</v>
      </c>
      <c r="D261" s="6">
        <f t="shared" si="4"/>
        <v>22126.867200000001</v>
      </c>
      <c r="E261" s="5">
        <v>27</v>
      </c>
      <c r="F261" t="s">
        <v>16</v>
      </c>
      <c r="G261" s="6">
        <v>853.66</v>
      </c>
      <c r="H261" t="s">
        <v>17</v>
      </c>
      <c r="I261" s="7">
        <v>0.04</v>
      </c>
      <c r="J261" t="s">
        <v>18</v>
      </c>
      <c r="K261" t="s">
        <v>19</v>
      </c>
    </row>
    <row r="262" spans="1:11" x14ac:dyDescent="0.25">
      <c r="A262" s="1" t="s">
        <v>63</v>
      </c>
      <c r="B262" t="s">
        <v>14</v>
      </c>
      <c r="C262" t="s">
        <v>34</v>
      </c>
      <c r="D262" s="6">
        <f t="shared" si="4"/>
        <v>36193.975200000001</v>
      </c>
      <c r="E262" s="5">
        <v>12</v>
      </c>
      <c r="F262" t="s">
        <v>35</v>
      </c>
      <c r="G262" s="6">
        <v>3723.66</v>
      </c>
      <c r="H262" t="s">
        <v>17</v>
      </c>
      <c r="I262" s="7">
        <v>0.19</v>
      </c>
      <c r="J262" t="s">
        <v>18</v>
      </c>
      <c r="K262" t="s">
        <v>19</v>
      </c>
    </row>
    <row r="263" spans="1:11" x14ac:dyDescent="0.25">
      <c r="A263" s="1" t="s">
        <v>63</v>
      </c>
      <c r="B263" t="s">
        <v>42</v>
      </c>
      <c r="C263" t="s">
        <v>15</v>
      </c>
      <c r="D263" s="6">
        <f t="shared" si="4"/>
        <v>82353.314999999988</v>
      </c>
      <c r="E263" s="5">
        <v>33</v>
      </c>
      <c r="F263" t="s">
        <v>29</v>
      </c>
      <c r="G263" s="6">
        <v>2626.9</v>
      </c>
      <c r="H263" t="s">
        <v>30</v>
      </c>
      <c r="I263" s="7">
        <v>0.05</v>
      </c>
      <c r="J263" t="s">
        <v>31</v>
      </c>
      <c r="K263" t="s">
        <v>19</v>
      </c>
    </row>
    <row r="264" spans="1:11" x14ac:dyDescent="0.25">
      <c r="A264" s="1" t="s">
        <v>63</v>
      </c>
      <c r="B264" t="s">
        <v>38</v>
      </c>
      <c r="C264" t="s">
        <v>34</v>
      </c>
      <c r="D264" s="6">
        <f t="shared" si="4"/>
        <v>90844.608800000002</v>
      </c>
      <c r="E264" s="5">
        <v>23</v>
      </c>
      <c r="F264" t="s">
        <v>29</v>
      </c>
      <c r="G264" s="6">
        <v>4488.37</v>
      </c>
      <c r="H264" t="s">
        <v>30</v>
      </c>
      <c r="I264" s="7">
        <v>0.12</v>
      </c>
      <c r="J264" t="s">
        <v>31</v>
      </c>
      <c r="K264" t="s">
        <v>19</v>
      </c>
    </row>
    <row r="265" spans="1:11" x14ac:dyDescent="0.25">
      <c r="A265" s="1" t="s">
        <v>63</v>
      </c>
      <c r="B265" t="s">
        <v>42</v>
      </c>
      <c r="C265" t="s">
        <v>25</v>
      </c>
      <c r="D265" s="6">
        <f t="shared" si="4"/>
        <v>95065.74</v>
      </c>
      <c r="E265" s="5">
        <v>38</v>
      </c>
      <c r="F265" t="s">
        <v>26</v>
      </c>
      <c r="G265" s="6">
        <v>2527</v>
      </c>
      <c r="H265" t="s">
        <v>17</v>
      </c>
      <c r="I265" s="7">
        <v>0.01</v>
      </c>
      <c r="J265" t="s">
        <v>31</v>
      </c>
      <c r="K265" t="s">
        <v>19</v>
      </c>
    </row>
    <row r="266" spans="1:11" x14ac:dyDescent="0.25">
      <c r="A266" s="1" t="s">
        <v>65</v>
      </c>
      <c r="B266" t="s">
        <v>24</v>
      </c>
      <c r="C266" t="s">
        <v>34</v>
      </c>
      <c r="D266" s="6">
        <f t="shared" si="4"/>
        <v>19234.162499999999</v>
      </c>
      <c r="E266" s="5">
        <v>5</v>
      </c>
      <c r="F266" t="s">
        <v>26</v>
      </c>
      <c r="G266" s="6">
        <v>5129.1099999999997</v>
      </c>
      <c r="H266" t="s">
        <v>30</v>
      </c>
      <c r="I266" s="7">
        <v>0.25</v>
      </c>
      <c r="J266" t="s">
        <v>27</v>
      </c>
      <c r="K266" t="s">
        <v>19</v>
      </c>
    </row>
    <row r="267" spans="1:11" x14ac:dyDescent="0.25">
      <c r="A267" s="1" t="s">
        <v>63</v>
      </c>
      <c r="B267" t="s">
        <v>38</v>
      </c>
      <c r="C267" t="s">
        <v>34</v>
      </c>
      <c r="D267" s="6">
        <f t="shared" si="4"/>
        <v>18952.103800000001</v>
      </c>
      <c r="E267" s="5">
        <v>43</v>
      </c>
      <c r="F267" t="s">
        <v>16</v>
      </c>
      <c r="G267" s="6">
        <v>531.02</v>
      </c>
      <c r="H267" t="s">
        <v>30</v>
      </c>
      <c r="I267" s="7">
        <v>0.17</v>
      </c>
      <c r="J267" t="s">
        <v>18</v>
      </c>
      <c r="K267" t="s">
        <v>19</v>
      </c>
    </row>
    <row r="268" spans="1:11" x14ac:dyDescent="0.25">
      <c r="A268" s="1" t="s">
        <v>63</v>
      </c>
      <c r="B268" t="s">
        <v>42</v>
      </c>
      <c r="C268" t="s">
        <v>21</v>
      </c>
      <c r="D268" s="6">
        <f t="shared" si="4"/>
        <v>10524.24</v>
      </c>
      <c r="E268" s="5">
        <v>3</v>
      </c>
      <c r="F268" t="s">
        <v>29</v>
      </c>
      <c r="G268" s="6">
        <v>3732</v>
      </c>
      <c r="H268" t="s">
        <v>30</v>
      </c>
      <c r="I268" s="7">
        <v>0.06</v>
      </c>
      <c r="J268" t="s">
        <v>18</v>
      </c>
      <c r="K268" t="s">
        <v>19</v>
      </c>
    </row>
    <row r="269" spans="1:11" x14ac:dyDescent="0.25">
      <c r="A269" s="1" t="s">
        <v>63</v>
      </c>
      <c r="B269" t="s">
        <v>42</v>
      </c>
      <c r="C269" t="s">
        <v>34</v>
      </c>
      <c r="D269" s="6">
        <f t="shared" si="4"/>
        <v>95664.626099999994</v>
      </c>
      <c r="E269" s="5">
        <v>27</v>
      </c>
      <c r="F269" t="s">
        <v>26</v>
      </c>
      <c r="G269" s="6">
        <v>4990.33</v>
      </c>
      <c r="H269" t="s">
        <v>17</v>
      </c>
      <c r="I269" s="7">
        <v>0.28999999999999998</v>
      </c>
      <c r="J269" t="s">
        <v>31</v>
      </c>
      <c r="K269" t="s">
        <v>19</v>
      </c>
    </row>
    <row r="270" spans="1:11" x14ac:dyDescent="0.25">
      <c r="A270" s="1" t="s">
        <v>63</v>
      </c>
      <c r="B270" t="s">
        <v>38</v>
      </c>
      <c r="C270" t="s">
        <v>21</v>
      </c>
      <c r="D270" s="6">
        <f t="shared" si="4"/>
        <v>53235.212800000001</v>
      </c>
      <c r="E270" s="5">
        <v>16</v>
      </c>
      <c r="F270" t="s">
        <v>29</v>
      </c>
      <c r="G270" s="6">
        <v>4321.04</v>
      </c>
      <c r="H270" t="s">
        <v>17</v>
      </c>
      <c r="I270" s="7">
        <v>0.23</v>
      </c>
      <c r="J270" t="s">
        <v>31</v>
      </c>
      <c r="K270" t="s">
        <v>22</v>
      </c>
    </row>
    <row r="271" spans="1:11" x14ac:dyDescent="0.25">
      <c r="A271" s="1" t="s">
        <v>63</v>
      </c>
      <c r="B271" t="s">
        <v>38</v>
      </c>
      <c r="C271" t="s">
        <v>15</v>
      </c>
      <c r="D271" s="6">
        <f t="shared" si="4"/>
        <v>27560.800000000003</v>
      </c>
      <c r="E271" s="5">
        <v>47</v>
      </c>
      <c r="F271" t="s">
        <v>29</v>
      </c>
      <c r="G271" s="6">
        <v>733</v>
      </c>
      <c r="H271" t="s">
        <v>17</v>
      </c>
      <c r="I271" s="7">
        <v>0.2</v>
      </c>
      <c r="J271" t="s">
        <v>27</v>
      </c>
      <c r="K271" t="s">
        <v>22</v>
      </c>
    </row>
    <row r="272" spans="1:11" x14ac:dyDescent="0.25">
      <c r="A272" s="1" t="s">
        <v>63</v>
      </c>
      <c r="B272" t="s">
        <v>42</v>
      </c>
      <c r="C272" t="s">
        <v>21</v>
      </c>
      <c r="D272" s="6">
        <f t="shared" si="4"/>
        <v>70402.77</v>
      </c>
      <c r="E272" s="5">
        <v>23</v>
      </c>
      <c r="F272" t="s">
        <v>35</v>
      </c>
      <c r="G272" s="6">
        <v>3401.1</v>
      </c>
      <c r="H272" t="s">
        <v>30</v>
      </c>
      <c r="I272" s="7">
        <v>0.1</v>
      </c>
      <c r="J272" t="s">
        <v>18</v>
      </c>
      <c r="K272" t="s">
        <v>19</v>
      </c>
    </row>
    <row r="273" spans="1:11" x14ac:dyDescent="0.25">
      <c r="A273" s="1" t="s">
        <v>63</v>
      </c>
      <c r="B273" t="s">
        <v>33</v>
      </c>
      <c r="C273" t="s">
        <v>21</v>
      </c>
      <c r="D273" s="6">
        <f t="shared" si="4"/>
        <v>101156.7375</v>
      </c>
      <c r="E273" s="5">
        <v>25</v>
      </c>
      <c r="F273" t="s">
        <v>16</v>
      </c>
      <c r="G273" s="6">
        <v>4446.45</v>
      </c>
      <c r="H273" t="s">
        <v>17</v>
      </c>
      <c r="I273" s="7">
        <v>0.09</v>
      </c>
      <c r="J273" t="s">
        <v>27</v>
      </c>
      <c r="K273" t="s">
        <v>19</v>
      </c>
    </row>
    <row r="274" spans="1:11" x14ac:dyDescent="0.25">
      <c r="A274" s="1" t="s">
        <v>63</v>
      </c>
      <c r="B274" t="s">
        <v>14</v>
      </c>
      <c r="C274" t="s">
        <v>15</v>
      </c>
      <c r="D274" s="6">
        <f t="shared" si="4"/>
        <v>85931.015999999989</v>
      </c>
      <c r="E274" s="5">
        <v>48</v>
      </c>
      <c r="F274" t="s">
        <v>26</v>
      </c>
      <c r="G274" s="6">
        <v>2521.4499999999998</v>
      </c>
      <c r="H274" t="s">
        <v>30</v>
      </c>
      <c r="I274" s="7">
        <v>0.28999999999999998</v>
      </c>
      <c r="J274" t="s">
        <v>18</v>
      </c>
      <c r="K274" t="s">
        <v>19</v>
      </c>
    </row>
    <row r="275" spans="1:11" x14ac:dyDescent="0.25">
      <c r="A275" s="1" t="s">
        <v>66</v>
      </c>
      <c r="B275" t="s">
        <v>24</v>
      </c>
      <c r="C275" t="s">
        <v>34</v>
      </c>
      <c r="D275" s="6">
        <f t="shared" si="4"/>
        <v>19555.599999999999</v>
      </c>
      <c r="E275" s="5">
        <v>10</v>
      </c>
      <c r="F275" t="s">
        <v>16</v>
      </c>
      <c r="G275" s="6">
        <v>1955.56</v>
      </c>
      <c r="H275" t="s">
        <v>30</v>
      </c>
      <c r="I275" s="7">
        <v>0</v>
      </c>
      <c r="J275" t="s">
        <v>31</v>
      </c>
      <c r="K275" t="s">
        <v>19</v>
      </c>
    </row>
    <row r="276" spans="1:11" x14ac:dyDescent="0.25">
      <c r="A276" s="1" t="s">
        <v>73</v>
      </c>
      <c r="B276" t="s">
        <v>24</v>
      </c>
      <c r="C276" t="s">
        <v>25</v>
      </c>
      <c r="D276" s="6">
        <f t="shared" si="4"/>
        <v>19769.294999999998</v>
      </c>
      <c r="E276" s="5">
        <v>14</v>
      </c>
      <c r="F276" t="s">
        <v>29</v>
      </c>
      <c r="G276" s="6">
        <v>1882.79</v>
      </c>
      <c r="H276" t="s">
        <v>30</v>
      </c>
      <c r="I276" s="7">
        <v>0.25</v>
      </c>
      <c r="J276" t="s">
        <v>31</v>
      </c>
      <c r="K276" t="s">
        <v>22</v>
      </c>
    </row>
    <row r="277" spans="1:11" x14ac:dyDescent="0.25">
      <c r="A277" s="1" t="s">
        <v>63</v>
      </c>
      <c r="B277" t="s">
        <v>33</v>
      </c>
      <c r="C277" t="s">
        <v>34</v>
      </c>
      <c r="D277" s="6">
        <f t="shared" si="4"/>
        <v>22802.395500000002</v>
      </c>
      <c r="E277" s="5">
        <v>29</v>
      </c>
      <c r="F277" t="s">
        <v>16</v>
      </c>
      <c r="G277" s="6">
        <v>1107.45</v>
      </c>
      <c r="H277" t="s">
        <v>30</v>
      </c>
      <c r="I277" s="7">
        <v>0.28999999999999998</v>
      </c>
      <c r="J277" t="s">
        <v>18</v>
      </c>
      <c r="K277" t="s">
        <v>22</v>
      </c>
    </row>
    <row r="278" spans="1:11" x14ac:dyDescent="0.25">
      <c r="A278" s="1" t="s">
        <v>69</v>
      </c>
      <c r="B278" t="s">
        <v>24</v>
      </c>
      <c r="C278" t="s">
        <v>21</v>
      </c>
      <c r="D278" s="6">
        <f t="shared" si="4"/>
        <v>20388.576000000001</v>
      </c>
      <c r="E278" s="5">
        <v>31</v>
      </c>
      <c r="F278" t="s">
        <v>26</v>
      </c>
      <c r="G278" s="6">
        <v>685.1</v>
      </c>
      <c r="H278" t="s">
        <v>30</v>
      </c>
      <c r="I278" s="7">
        <v>0.04</v>
      </c>
      <c r="J278" t="s">
        <v>27</v>
      </c>
      <c r="K278" t="s">
        <v>19</v>
      </c>
    </row>
    <row r="279" spans="1:11" x14ac:dyDescent="0.25">
      <c r="A279" s="1" t="s">
        <v>63</v>
      </c>
      <c r="B279" t="s">
        <v>33</v>
      </c>
      <c r="C279" t="s">
        <v>21</v>
      </c>
      <c r="D279" s="6">
        <f t="shared" si="4"/>
        <v>57608.746800000001</v>
      </c>
      <c r="E279" s="5">
        <v>44</v>
      </c>
      <c r="F279" t="s">
        <v>35</v>
      </c>
      <c r="G279" s="6">
        <v>1844.07</v>
      </c>
      <c r="H279" t="s">
        <v>30</v>
      </c>
      <c r="I279" s="7">
        <v>0.28999999999999998</v>
      </c>
      <c r="J279" t="s">
        <v>31</v>
      </c>
      <c r="K279" t="s">
        <v>19</v>
      </c>
    </row>
    <row r="280" spans="1:11" x14ac:dyDescent="0.25">
      <c r="A280" s="1" t="s">
        <v>63</v>
      </c>
      <c r="B280" t="s">
        <v>38</v>
      </c>
      <c r="C280" t="s">
        <v>21</v>
      </c>
      <c r="D280" s="6">
        <f t="shared" si="4"/>
        <v>34177.68</v>
      </c>
      <c r="E280" s="5">
        <v>12</v>
      </c>
      <c r="F280" t="s">
        <v>26</v>
      </c>
      <c r="G280" s="6">
        <v>3955.75</v>
      </c>
      <c r="H280" t="s">
        <v>17</v>
      </c>
      <c r="I280" s="7">
        <v>0.28000000000000003</v>
      </c>
      <c r="J280" t="s">
        <v>18</v>
      </c>
      <c r="K280" t="s">
        <v>22</v>
      </c>
    </row>
    <row r="281" spans="1:11" x14ac:dyDescent="0.25">
      <c r="A281" s="1" t="s">
        <v>63</v>
      </c>
      <c r="B281" t="s">
        <v>14</v>
      </c>
      <c r="C281" t="s">
        <v>15</v>
      </c>
      <c r="D281" s="6">
        <f t="shared" si="4"/>
        <v>17546.554200000002</v>
      </c>
      <c r="E281" s="5">
        <v>21</v>
      </c>
      <c r="F281" t="s">
        <v>26</v>
      </c>
      <c r="G281" s="6">
        <v>971.57</v>
      </c>
      <c r="H281" t="s">
        <v>17</v>
      </c>
      <c r="I281" s="7">
        <v>0.14000000000000001</v>
      </c>
      <c r="J281" t="s">
        <v>18</v>
      </c>
      <c r="K281" t="s">
        <v>19</v>
      </c>
    </row>
    <row r="282" spans="1:11" x14ac:dyDescent="0.25">
      <c r="A282" s="1" t="s">
        <v>63</v>
      </c>
      <c r="B282" t="s">
        <v>33</v>
      </c>
      <c r="C282" t="s">
        <v>21</v>
      </c>
      <c r="D282" s="6">
        <f t="shared" si="4"/>
        <v>125892.7758</v>
      </c>
      <c r="E282" s="5">
        <v>34</v>
      </c>
      <c r="F282" t="s">
        <v>26</v>
      </c>
      <c r="G282" s="6">
        <v>3740.13</v>
      </c>
      <c r="H282" t="s">
        <v>17</v>
      </c>
      <c r="I282" s="7">
        <v>0.01</v>
      </c>
      <c r="J282" t="s">
        <v>31</v>
      </c>
      <c r="K282" t="s">
        <v>19</v>
      </c>
    </row>
    <row r="283" spans="1:11" x14ac:dyDescent="0.25">
      <c r="A283" s="1" t="s">
        <v>63</v>
      </c>
      <c r="B283" t="s">
        <v>42</v>
      </c>
      <c r="C283" t="s">
        <v>21</v>
      </c>
      <c r="D283" s="6">
        <f t="shared" si="4"/>
        <v>92333.933999999994</v>
      </c>
      <c r="E283" s="5">
        <v>42</v>
      </c>
      <c r="F283" t="s">
        <v>26</v>
      </c>
      <c r="G283" s="6">
        <v>2363.9</v>
      </c>
      <c r="H283" t="s">
        <v>17</v>
      </c>
      <c r="I283" s="7">
        <v>7.0000000000000007E-2</v>
      </c>
      <c r="J283" t="s">
        <v>18</v>
      </c>
      <c r="K283" t="s">
        <v>19</v>
      </c>
    </row>
    <row r="284" spans="1:11" x14ac:dyDescent="0.25">
      <c r="A284" s="1" t="s">
        <v>63</v>
      </c>
      <c r="B284" t="s">
        <v>33</v>
      </c>
      <c r="C284" t="s">
        <v>15</v>
      </c>
      <c r="D284" s="6">
        <f t="shared" si="4"/>
        <v>9681.1260000000002</v>
      </c>
      <c r="E284" s="5">
        <v>5</v>
      </c>
      <c r="F284" t="s">
        <v>35</v>
      </c>
      <c r="G284" s="6">
        <v>2482.34</v>
      </c>
      <c r="H284" t="s">
        <v>17</v>
      </c>
      <c r="I284" s="7">
        <v>0.22</v>
      </c>
      <c r="J284" t="s">
        <v>31</v>
      </c>
      <c r="K284" t="s">
        <v>22</v>
      </c>
    </row>
    <row r="285" spans="1:11" x14ac:dyDescent="0.25">
      <c r="A285" s="1" t="s">
        <v>63</v>
      </c>
      <c r="B285" t="s">
        <v>33</v>
      </c>
      <c r="C285" t="s">
        <v>34</v>
      </c>
      <c r="D285" s="6">
        <f t="shared" si="4"/>
        <v>44723.632799999999</v>
      </c>
      <c r="E285" s="5">
        <v>44</v>
      </c>
      <c r="F285" t="s">
        <v>35</v>
      </c>
      <c r="G285" s="6">
        <v>1320.06</v>
      </c>
      <c r="H285" t="s">
        <v>17</v>
      </c>
      <c r="I285" s="7">
        <v>0.23</v>
      </c>
      <c r="J285" t="s">
        <v>27</v>
      </c>
      <c r="K285" t="s">
        <v>22</v>
      </c>
    </row>
    <row r="286" spans="1:11" x14ac:dyDescent="0.25">
      <c r="A286" s="1" t="s">
        <v>64</v>
      </c>
      <c r="B286" t="s">
        <v>24</v>
      </c>
      <c r="C286" t="s">
        <v>34</v>
      </c>
      <c r="D286" s="6">
        <f t="shared" si="4"/>
        <v>20406.055</v>
      </c>
      <c r="E286" s="5">
        <v>25</v>
      </c>
      <c r="F286" t="s">
        <v>16</v>
      </c>
      <c r="G286" s="6">
        <v>1103.03</v>
      </c>
      <c r="H286" t="s">
        <v>30</v>
      </c>
      <c r="I286" s="7">
        <v>0.26</v>
      </c>
      <c r="J286" t="s">
        <v>27</v>
      </c>
      <c r="K286" t="s">
        <v>22</v>
      </c>
    </row>
    <row r="287" spans="1:11" x14ac:dyDescent="0.25">
      <c r="A287" s="1" t="s">
        <v>63</v>
      </c>
      <c r="B287" t="s">
        <v>14</v>
      </c>
      <c r="C287" t="s">
        <v>34</v>
      </c>
      <c r="D287" s="6">
        <f t="shared" si="4"/>
        <v>8057.6067999999987</v>
      </c>
      <c r="E287" s="5">
        <v>4</v>
      </c>
      <c r="F287" t="s">
        <v>26</v>
      </c>
      <c r="G287" s="6">
        <v>2426.9899999999998</v>
      </c>
      <c r="H287" t="s">
        <v>17</v>
      </c>
      <c r="I287" s="7">
        <v>0.17</v>
      </c>
      <c r="J287" t="s">
        <v>27</v>
      </c>
      <c r="K287" t="s">
        <v>19</v>
      </c>
    </row>
    <row r="288" spans="1:11" x14ac:dyDescent="0.25">
      <c r="A288" s="1" t="s">
        <v>66</v>
      </c>
      <c r="B288" t="s">
        <v>24</v>
      </c>
      <c r="C288" t="s">
        <v>25</v>
      </c>
      <c r="D288" s="6">
        <f t="shared" si="4"/>
        <v>20452.2624</v>
      </c>
      <c r="E288" s="5">
        <v>23</v>
      </c>
      <c r="F288" t="s">
        <v>26</v>
      </c>
      <c r="G288" s="6">
        <v>956.16</v>
      </c>
      <c r="H288" t="s">
        <v>17</v>
      </c>
      <c r="I288" s="7">
        <v>7.0000000000000007E-2</v>
      </c>
      <c r="J288" t="s">
        <v>18</v>
      </c>
      <c r="K288" t="s">
        <v>22</v>
      </c>
    </row>
    <row r="289" spans="1:11" x14ac:dyDescent="0.25">
      <c r="A289" s="1" t="s">
        <v>63</v>
      </c>
      <c r="B289" t="s">
        <v>33</v>
      </c>
      <c r="C289" t="s">
        <v>21</v>
      </c>
      <c r="D289" s="6">
        <f t="shared" si="4"/>
        <v>117234.50240000001</v>
      </c>
      <c r="E289" s="5">
        <v>32</v>
      </c>
      <c r="F289" t="s">
        <v>35</v>
      </c>
      <c r="G289" s="6">
        <v>4116.38</v>
      </c>
      <c r="H289" t="s">
        <v>17</v>
      </c>
      <c r="I289" s="7">
        <v>0.11</v>
      </c>
      <c r="J289" t="s">
        <v>18</v>
      </c>
      <c r="K289" t="s">
        <v>19</v>
      </c>
    </row>
    <row r="290" spans="1:11" x14ac:dyDescent="0.25">
      <c r="A290" s="1" t="s">
        <v>63</v>
      </c>
      <c r="B290" t="s">
        <v>14</v>
      </c>
      <c r="C290" t="s">
        <v>21</v>
      </c>
      <c r="D290" s="6">
        <f t="shared" si="4"/>
        <v>2948.0832</v>
      </c>
      <c r="E290" s="5">
        <v>3</v>
      </c>
      <c r="F290" t="s">
        <v>26</v>
      </c>
      <c r="G290" s="6">
        <v>1023.64</v>
      </c>
      <c r="H290" t="s">
        <v>17</v>
      </c>
      <c r="I290" s="7">
        <v>0.04</v>
      </c>
      <c r="J290" t="s">
        <v>31</v>
      </c>
      <c r="K290" t="s">
        <v>19</v>
      </c>
    </row>
    <row r="291" spans="1:11" x14ac:dyDescent="0.25">
      <c r="A291" s="1" t="s">
        <v>63</v>
      </c>
      <c r="B291" t="s">
        <v>38</v>
      </c>
      <c r="C291" t="s">
        <v>25</v>
      </c>
      <c r="D291" s="6">
        <f t="shared" si="4"/>
        <v>109570.5</v>
      </c>
      <c r="E291" s="5">
        <v>39</v>
      </c>
      <c r="F291" t="s">
        <v>35</v>
      </c>
      <c r="G291" s="6">
        <v>3746</v>
      </c>
      <c r="H291" t="s">
        <v>17</v>
      </c>
      <c r="I291" s="7">
        <v>0.25</v>
      </c>
      <c r="J291" t="s">
        <v>27</v>
      </c>
      <c r="K291" t="s">
        <v>22</v>
      </c>
    </row>
    <row r="292" spans="1:11" x14ac:dyDescent="0.25">
      <c r="A292" s="1" t="s">
        <v>63</v>
      </c>
      <c r="B292" t="s">
        <v>42</v>
      </c>
      <c r="C292" t="s">
        <v>15</v>
      </c>
      <c r="D292" s="6">
        <f t="shared" si="4"/>
        <v>143298.94999999998</v>
      </c>
      <c r="E292" s="5">
        <v>34</v>
      </c>
      <c r="F292" t="s">
        <v>26</v>
      </c>
      <c r="G292" s="6">
        <v>4436.5</v>
      </c>
      <c r="H292" t="s">
        <v>30</v>
      </c>
      <c r="I292" s="7">
        <v>0.05</v>
      </c>
      <c r="J292" t="s">
        <v>18</v>
      </c>
      <c r="K292" t="s">
        <v>19</v>
      </c>
    </row>
    <row r="293" spans="1:11" x14ac:dyDescent="0.25">
      <c r="A293" s="1" t="s">
        <v>63</v>
      </c>
      <c r="B293" t="s">
        <v>42</v>
      </c>
      <c r="C293" t="s">
        <v>21</v>
      </c>
      <c r="D293" s="6">
        <f t="shared" si="4"/>
        <v>41132.887199999997</v>
      </c>
      <c r="E293" s="5">
        <v>18</v>
      </c>
      <c r="F293" t="s">
        <v>35</v>
      </c>
      <c r="G293" s="6">
        <v>2483.87</v>
      </c>
      <c r="H293" t="s">
        <v>17</v>
      </c>
      <c r="I293" s="7">
        <v>0.08</v>
      </c>
      <c r="J293" t="s">
        <v>18</v>
      </c>
      <c r="K293" t="s">
        <v>19</v>
      </c>
    </row>
    <row r="294" spans="1:11" x14ac:dyDescent="0.25">
      <c r="A294" s="1" t="s">
        <v>63</v>
      </c>
      <c r="B294" t="s">
        <v>14</v>
      </c>
      <c r="C294" t="s">
        <v>25</v>
      </c>
      <c r="D294" s="6">
        <f t="shared" si="4"/>
        <v>31329.503999999997</v>
      </c>
      <c r="E294" s="5">
        <v>10</v>
      </c>
      <c r="F294" t="s">
        <v>35</v>
      </c>
      <c r="G294" s="6">
        <v>3263.49</v>
      </c>
      <c r="H294" t="s">
        <v>17</v>
      </c>
      <c r="I294" s="7">
        <v>0.04</v>
      </c>
      <c r="J294" t="s">
        <v>31</v>
      </c>
      <c r="K294" t="s">
        <v>19</v>
      </c>
    </row>
    <row r="295" spans="1:11" x14ac:dyDescent="0.25">
      <c r="A295" s="1" t="s">
        <v>63</v>
      </c>
      <c r="B295" t="s">
        <v>14</v>
      </c>
      <c r="C295" t="s">
        <v>25</v>
      </c>
      <c r="D295" s="6">
        <f t="shared" si="4"/>
        <v>17049.649999999998</v>
      </c>
      <c r="E295" s="5">
        <v>5</v>
      </c>
      <c r="F295" t="s">
        <v>16</v>
      </c>
      <c r="G295" s="6">
        <v>3409.93</v>
      </c>
      <c r="H295" t="s">
        <v>30</v>
      </c>
      <c r="I295" s="7">
        <v>0</v>
      </c>
      <c r="J295" t="s">
        <v>18</v>
      </c>
      <c r="K295" t="s">
        <v>19</v>
      </c>
    </row>
    <row r="296" spans="1:11" x14ac:dyDescent="0.25">
      <c r="A296" s="1" t="s">
        <v>63</v>
      </c>
      <c r="B296" t="s">
        <v>33</v>
      </c>
      <c r="C296" t="s">
        <v>25</v>
      </c>
      <c r="D296" s="6">
        <f t="shared" si="4"/>
        <v>93141.440000000002</v>
      </c>
      <c r="E296" s="5">
        <v>32</v>
      </c>
      <c r="F296" t="s">
        <v>29</v>
      </c>
      <c r="G296" s="6">
        <v>3384.5</v>
      </c>
      <c r="H296" t="s">
        <v>17</v>
      </c>
      <c r="I296" s="7">
        <v>0.14000000000000001</v>
      </c>
      <c r="J296" t="s">
        <v>18</v>
      </c>
      <c r="K296" t="s">
        <v>22</v>
      </c>
    </row>
    <row r="297" spans="1:11" x14ac:dyDescent="0.25">
      <c r="A297" s="1" t="s">
        <v>63</v>
      </c>
      <c r="B297" t="s">
        <v>42</v>
      </c>
      <c r="C297" t="s">
        <v>25</v>
      </c>
      <c r="D297" s="6">
        <f t="shared" si="4"/>
        <v>114170.8392</v>
      </c>
      <c r="E297" s="5">
        <v>33</v>
      </c>
      <c r="F297" t="s">
        <v>16</v>
      </c>
      <c r="G297" s="6">
        <v>4805.17</v>
      </c>
      <c r="H297" t="s">
        <v>17</v>
      </c>
      <c r="I297" s="7">
        <v>0.28000000000000003</v>
      </c>
      <c r="J297" t="s">
        <v>27</v>
      </c>
      <c r="K297" t="s">
        <v>19</v>
      </c>
    </row>
    <row r="298" spans="1:11" x14ac:dyDescent="0.25">
      <c r="A298" s="1" t="s">
        <v>63</v>
      </c>
      <c r="B298" t="s">
        <v>38</v>
      </c>
      <c r="C298" t="s">
        <v>15</v>
      </c>
      <c r="D298" s="6">
        <f t="shared" si="4"/>
        <v>14153.715</v>
      </c>
      <c r="E298" s="5">
        <v>5</v>
      </c>
      <c r="F298" t="s">
        <v>35</v>
      </c>
      <c r="G298" s="6">
        <v>3145.27</v>
      </c>
      <c r="H298" t="s">
        <v>30</v>
      </c>
      <c r="I298" s="7">
        <v>0.1</v>
      </c>
      <c r="J298" t="s">
        <v>31</v>
      </c>
      <c r="K298" t="s">
        <v>22</v>
      </c>
    </row>
    <row r="299" spans="1:11" x14ac:dyDescent="0.25">
      <c r="A299" s="1" t="s">
        <v>63</v>
      </c>
      <c r="B299" t="s">
        <v>38</v>
      </c>
      <c r="C299" t="s">
        <v>15</v>
      </c>
      <c r="D299" s="6">
        <f t="shared" si="4"/>
        <v>26336.526999999998</v>
      </c>
      <c r="E299" s="5">
        <v>35</v>
      </c>
      <c r="F299" t="s">
        <v>29</v>
      </c>
      <c r="G299" s="6">
        <v>1059.82</v>
      </c>
      <c r="H299" t="s">
        <v>17</v>
      </c>
      <c r="I299" s="7">
        <v>0.28999999999999998</v>
      </c>
      <c r="J299" t="s">
        <v>27</v>
      </c>
      <c r="K299" t="s">
        <v>22</v>
      </c>
    </row>
    <row r="300" spans="1:11" x14ac:dyDescent="0.25">
      <c r="A300" s="1" t="s">
        <v>63</v>
      </c>
      <c r="B300" t="s">
        <v>33</v>
      </c>
      <c r="C300" t="s">
        <v>25</v>
      </c>
      <c r="D300" s="6">
        <f t="shared" si="4"/>
        <v>14946.119999999999</v>
      </c>
      <c r="E300" s="5">
        <v>45</v>
      </c>
      <c r="F300" t="s">
        <v>29</v>
      </c>
      <c r="G300" s="6">
        <v>461.3</v>
      </c>
      <c r="H300" t="s">
        <v>17</v>
      </c>
      <c r="I300" s="7">
        <v>0.28000000000000003</v>
      </c>
      <c r="J300" t="s">
        <v>18</v>
      </c>
      <c r="K300" t="s">
        <v>19</v>
      </c>
    </row>
    <row r="301" spans="1:11" x14ac:dyDescent="0.25">
      <c r="A301" s="1" t="s">
        <v>63</v>
      </c>
      <c r="B301" t="s">
        <v>38</v>
      </c>
      <c r="C301" t="s">
        <v>21</v>
      </c>
      <c r="D301" s="6">
        <f t="shared" si="4"/>
        <v>24668.9074</v>
      </c>
      <c r="E301" s="5">
        <v>17</v>
      </c>
      <c r="F301" t="s">
        <v>16</v>
      </c>
      <c r="G301" s="6">
        <v>2043.82</v>
      </c>
      <c r="H301" t="s">
        <v>30</v>
      </c>
      <c r="I301" s="7">
        <v>0.28999999999999998</v>
      </c>
      <c r="J301" t="s">
        <v>18</v>
      </c>
      <c r="K301" t="s">
        <v>22</v>
      </c>
    </row>
    <row r="302" spans="1:11" x14ac:dyDescent="0.25">
      <c r="A302" s="1" t="s">
        <v>70</v>
      </c>
      <c r="B302" t="s">
        <v>24</v>
      </c>
      <c r="C302" t="s">
        <v>15</v>
      </c>
      <c r="D302" s="6">
        <f t="shared" si="4"/>
        <v>20630.937599999997</v>
      </c>
      <c r="E302" s="5">
        <v>36</v>
      </c>
      <c r="F302" t="s">
        <v>16</v>
      </c>
      <c r="G302" s="6">
        <v>682.24</v>
      </c>
      <c r="H302" t="s">
        <v>30</v>
      </c>
      <c r="I302" s="7">
        <v>0.16</v>
      </c>
      <c r="J302" t="s">
        <v>27</v>
      </c>
      <c r="K302" t="s">
        <v>22</v>
      </c>
    </row>
    <row r="303" spans="1:11" x14ac:dyDescent="0.25">
      <c r="A303" s="1" t="s">
        <v>63</v>
      </c>
      <c r="B303" t="s">
        <v>38</v>
      </c>
      <c r="C303" t="s">
        <v>15</v>
      </c>
      <c r="D303" s="6">
        <f t="shared" si="4"/>
        <v>22021.962799999998</v>
      </c>
      <c r="E303" s="5">
        <v>47</v>
      </c>
      <c r="F303" t="s">
        <v>35</v>
      </c>
      <c r="G303" s="6">
        <v>498.46</v>
      </c>
      <c r="H303" t="s">
        <v>30</v>
      </c>
      <c r="I303" s="7">
        <v>0.06</v>
      </c>
      <c r="J303" t="s">
        <v>18</v>
      </c>
      <c r="K303" t="s">
        <v>22</v>
      </c>
    </row>
    <row r="304" spans="1:11" x14ac:dyDescent="0.25">
      <c r="A304" s="1" t="s">
        <v>63</v>
      </c>
      <c r="B304" t="s">
        <v>33</v>
      </c>
      <c r="C304" t="s">
        <v>15</v>
      </c>
      <c r="D304" s="6">
        <f t="shared" si="4"/>
        <v>72242.648000000001</v>
      </c>
      <c r="E304" s="5">
        <v>40</v>
      </c>
      <c r="F304" t="s">
        <v>35</v>
      </c>
      <c r="G304" s="6">
        <v>2440.63</v>
      </c>
      <c r="H304" t="s">
        <v>30</v>
      </c>
      <c r="I304" s="7">
        <v>0.26</v>
      </c>
      <c r="J304" t="s">
        <v>27</v>
      </c>
      <c r="K304" t="s">
        <v>22</v>
      </c>
    </row>
    <row r="305" spans="1:11" x14ac:dyDescent="0.25">
      <c r="A305" s="1" t="s">
        <v>63</v>
      </c>
      <c r="B305" t="s">
        <v>14</v>
      </c>
      <c r="C305" t="s">
        <v>34</v>
      </c>
      <c r="D305" s="6">
        <f t="shared" si="4"/>
        <v>41165.058000000005</v>
      </c>
      <c r="E305" s="5">
        <v>17</v>
      </c>
      <c r="F305" t="s">
        <v>26</v>
      </c>
      <c r="G305" s="6">
        <v>3186.15</v>
      </c>
      <c r="H305" t="s">
        <v>30</v>
      </c>
      <c r="I305" s="7">
        <v>0.24</v>
      </c>
      <c r="J305" t="s">
        <v>27</v>
      </c>
      <c r="K305" t="s">
        <v>22</v>
      </c>
    </row>
    <row r="306" spans="1:11" x14ac:dyDescent="0.25">
      <c r="A306" s="1" t="s">
        <v>63</v>
      </c>
      <c r="B306" t="s">
        <v>38</v>
      </c>
      <c r="C306" t="s">
        <v>34</v>
      </c>
      <c r="D306" s="6">
        <f t="shared" si="4"/>
        <v>28172.342499999817</v>
      </c>
      <c r="E306" s="5">
        <v>25</v>
      </c>
      <c r="F306" t="s">
        <v>35</v>
      </c>
      <c r="G306" s="6">
        <v>1543.6899999999901</v>
      </c>
      <c r="H306" t="s">
        <v>30</v>
      </c>
      <c r="I306" s="7">
        <v>0.27</v>
      </c>
      <c r="J306" t="s">
        <v>31</v>
      </c>
      <c r="K306" t="s">
        <v>19</v>
      </c>
    </row>
    <row r="307" spans="1:11" x14ac:dyDescent="0.25">
      <c r="A307" s="1" t="s">
        <v>63</v>
      </c>
      <c r="B307" t="s">
        <v>38</v>
      </c>
      <c r="C307" t="s">
        <v>21</v>
      </c>
      <c r="D307" s="6">
        <f t="shared" si="4"/>
        <v>146877.09479999999</v>
      </c>
      <c r="E307" s="5">
        <v>36</v>
      </c>
      <c r="F307" t="s">
        <v>35</v>
      </c>
      <c r="G307" s="6">
        <v>4387.01</v>
      </c>
      <c r="H307" t="s">
        <v>30</v>
      </c>
      <c r="I307" s="7">
        <v>7.0000000000000007E-2</v>
      </c>
      <c r="J307" t="s">
        <v>27</v>
      </c>
      <c r="K307" t="s">
        <v>22</v>
      </c>
    </row>
    <row r="308" spans="1:11" x14ac:dyDescent="0.25">
      <c r="A308" s="1" t="s">
        <v>65</v>
      </c>
      <c r="B308" t="s">
        <v>24</v>
      </c>
      <c r="C308" t="s">
        <v>34</v>
      </c>
      <c r="D308" s="6">
        <f t="shared" si="4"/>
        <v>20898.556</v>
      </c>
      <c r="E308" s="5">
        <v>14</v>
      </c>
      <c r="F308" t="s">
        <v>16</v>
      </c>
      <c r="G308" s="6">
        <v>1964.15</v>
      </c>
      <c r="H308" t="s">
        <v>17</v>
      </c>
      <c r="I308" s="7">
        <v>0.24</v>
      </c>
      <c r="J308" t="s">
        <v>27</v>
      </c>
      <c r="K308" t="s">
        <v>22</v>
      </c>
    </row>
    <row r="309" spans="1:11" x14ac:dyDescent="0.25">
      <c r="A309" s="1" t="s">
        <v>63</v>
      </c>
      <c r="B309" t="s">
        <v>33</v>
      </c>
      <c r="C309" t="s">
        <v>34</v>
      </c>
      <c r="D309" s="6">
        <f t="shared" si="4"/>
        <v>39733.828000000001</v>
      </c>
      <c r="E309" s="5">
        <v>29</v>
      </c>
      <c r="F309" t="s">
        <v>29</v>
      </c>
      <c r="G309" s="6">
        <v>1611.92</v>
      </c>
      <c r="H309" t="s">
        <v>30</v>
      </c>
      <c r="I309" s="7">
        <v>0.15</v>
      </c>
      <c r="J309" t="s">
        <v>18</v>
      </c>
      <c r="K309" t="s">
        <v>22</v>
      </c>
    </row>
    <row r="310" spans="1:11" x14ac:dyDescent="0.25">
      <c r="A310" s="1" t="s">
        <v>63</v>
      </c>
      <c r="B310" t="s">
        <v>42</v>
      </c>
      <c r="C310" t="s">
        <v>25</v>
      </c>
      <c r="D310" s="6">
        <f t="shared" si="4"/>
        <v>8062.6292999999996</v>
      </c>
      <c r="E310" s="5">
        <v>9</v>
      </c>
      <c r="F310" t="s">
        <v>35</v>
      </c>
      <c r="G310" s="6">
        <v>1029.71</v>
      </c>
      <c r="H310" t="s">
        <v>17</v>
      </c>
      <c r="I310" s="7">
        <v>0.13</v>
      </c>
      <c r="J310" t="s">
        <v>27</v>
      </c>
      <c r="K310" t="s">
        <v>22</v>
      </c>
    </row>
    <row r="311" spans="1:11" x14ac:dyDescent="0.25">
      <c r="A311" s="1" t="s">
        <v>63</v>
      </c>
      <c r="B311" t="s">
        <v>14</v>
      </c>
      <c r="C311" t="s">
        <v>25</v>
      </c>
      <c r="D311" s="6">
        <f t="shared" si="4"/>
        <v>14923.284</v>
      </c>
      <c r="E311" s="5">
        <v>4</v>
      </c>
      <c r="F311" t="s">
        <v>35</v>
      </c>
      <c r="G311" s="6">
        <v>4288.3</v>
      </c>
      <c r="H311" t="s">
        <v>30</v>
      </c>
      <c r="I311" s="7">
        <v>0.13</v>
      </c>
      <c r="J311" t="s">
        <v>31</v>
      </c>
      <c r="K311" t="s">
        <v>19</v>
      </c>
    </row>
    <row r="312" spans="1:11" x14ac:dyDescent="0.25">
      <c r="A312" s="1" t="s">
        <v>63</v>
      </c>
      <c r="B312" t="s">
        <v>42</v>
      </c>
      <c r="C312" t="s">
        <v>25</v>
      </c>
      <c r="D312" s="6">
        <f t="shared" si="4"/>
        <v>3596.4864000000002</v>
      </c>
      <c r="E312" s="5">
        <v>2</v>
      </c>
      <c r="F312" t="s">
        <v>26</v>
      </c>
      <c r="G312" s="6">
        <v>2305.44</v>
      </c>
      <c r="H312" t="s">
        <v>17</v>
      </c>
      <c r="I312" s="7">
        <v>0.22</v>
      </c>
      <c r="J312" t="s">
        <v>31</v>
      </c>
      <c r="K312" t="s">
        <v>19</v>
      </c>
    </row>
    <row r="313" spans="1:11" x14ac:dyDescent="0.25">
      <c r="A313" s="1" t="s">
        <v>63</v>
      </c>
      <c r="B313" t="s">
        <v>42</v>
      </c>
      <c r="C313" t="s">
        <v>15</v>
      </c>
      <c r="D313" s="6">
        <f t="shared" si="4"/>
        <v>1033.1324999999999</v>
      </c>
      <c r="E313" s="5">
        <v>3</v>
      </c>
      <c r="F313" t="s">
        <v>26</v>
      </c>
      <c r="G313" s="6">
        <v>471.75</v>
      </c>
      <c r="H313" t="s">
        <v>17</v>
      </c>
      <c r="I313" s="7">
        <v>0.27</v>
      </c>
      <c r="J313" t="s">
        <v>18</v>
      </c>
      <c r="K313" t="s">
        <v>19</v>
      </c>
    </row>
    <row r="314" spans="1:11" x14ac:dyDescent="0.25">
      <c r="A314" s="1" t="s">
        <v>63</v>
      </c>
      <c r="B314" t="s">
        <v>38</v>
      </c>
      <c r="C314" t="s">
        <v>21</v>
      </c>
      <c r="D314" s="6">
        <f t="shared" si="4"/>
        <v>99919.903999999995</v>
      </c>
      <c r="E314" s="5">
        <v>32</v>
      </c>
      <c r="F314" t="s">
        <v>29</v>
      </c>
      <c r="G314" s="6">
        <v>4460.71</v>
      </c>
      <c r="H314" t="s">
        <v>17</v>
      </c>
      <c r="I314" s="7">
        <v>0.3</v>
      </c>
      <c r="J314" t="s">
        <v>18</v>
      </c>
      <c r="K314" t="s">
        <v>22</v>
      </c>
    </row>
    <row r="315" spans="1:11" x14ac:dyDescent="0.25">
      <c r="A315" s="1" t="s">
        <v>63</v>
      </c>
      <c r="B315" t="s">
        <v>33</v>
      </c>
      <c r="C315" t="s">
        <v>34</v>
      </c>
      <c r="D315" s="6">
        <f t="shared" si="4"/>
        <v>37582.898599999906</v>
      </c>
      <c r="E315" s="5">
        <v>13</v>
      </c>
      <c r="F315" t="s">
        <v>29</v>
      </c>
      <c r="G315" s="6">
        <v>4071.8199999999902</v>
      </c>
      <c r="H315" t="s">
        <v>17</v>
      </c>
      <c r="I315" s="7">
        <v>0.28999999999999998</v>
      </c>
      <c r="J315" t="s">
        <v>27</v>
      </c>
      <c r="K315" t="s">
        <v>19</v>
      </c>
    </row>
    <row r="316" spans="1:11" x14ac:dyDescent="0.25">
      <c r="A316" s="1" t="s">
        <v>63</v>
      </c>
      <c r="B316" t="s">
        <v>38</v>
      </c>
      <c r="C316" t="s">
        <v>15</v>
      </c>
      <c r="D316" s="6">
        <f t="shared" si="4"/>
        <v>69741.907200000001</v>
      </c>
      <c r="E316" s="5">
        <v>42</v>
      </c>
      <c r="F316" t="s">
        <v>16</v>
      </c>
      <c r="G316" s="6">
        <v>1729.71</v>
      </c>
      <c r="H316" t="s">
        <v>30</v>
      </c>
      <c r="I316" s="7">
        <v>0.04</v>
      </c>
      <c r="J316" t="s">
        <v>18</v>
      </c>
      <c r="K316" t="s">
        <v>19</v>
      </c>
    </row>
    <row r="317" spans="1:11" x14ac:dyDescent="0.25">
      <c r="A317" s="1" t="s">
        <v>71</v>
      </c>
      <c r="B317" t="s">
        <v>24</v>
      </c>
      <c r="C317" t="s">
        <v>15</v>
      </c>
      <c r="D317" s="6">
        <f t="shared" si="4"/>
        <v>21038.604999999996</v>
      </c>
      <c r="E317" s="5">
        <v>7</v>
      </c>
      <c r="F317" t="s">
        <v>26</v>
      </c>
      <c r="G317" s="6">
        <v>3163.7</v>
      </c>
      <c r="H317" t="s">
        <v>17</v>
      </c>
      <c r="I317" s="7">
        <v>0.05</v>
      </c>
      <c r="J317" t="s">
        <v>18</v>
      </c>
      <c r="K317" t="s">
        <v>22</v>
      </c>
    </row>
    <row r="318" spans="1:11" x14ac:dyDescent="0.25">
      <c r="A318" s="1" t="s">
        <v>63</v>
      </c>
      <c r="B318" t="s">
        <v>42</v>
      </c>
      <c r="C318" t="s">
        <v>34</v>
      </c>
      <c r="D318" s="6">
        <f t="shared" si="4"/>
        <v>59529.556800000006</v>
      </c>
      <c r="E318" s="5">
        <v>24</v>
      </c>
      <c r="F318" t="s">
        <v>29</v>
      </c>
      <c r="G318" s="6">
        <v>3062.22</v>
      </c>
      <c r="H318" t="s">
        <v>30</v>
      </c>
      <c r="I318" s="7">
        <v>0.19</v>
      </c>
      <c r="J318" t="s">
        <v>27</v>
      </c>
      <c r="K318" t="s">
        <v>22</v>
      </c>
    </row>
    <row r="319" spans="1:11" x14ac:dyDescent="0.25">
      <c r="A319" s="1" t="s">
        <v>63</v>
      </c>
      <c r="B319" t="s">
        <v>14</v>
      </c>
      <c r="C319" t="s">
        <v>34</v>
      </c>
      <c r="D319" s="6">
        <f t="shared" si="4"/>
        <v>13089.120000000003</v>
      </c>
      <c r="E319" s="5">
        <v>10</v>
      </c>
      <c r="F319" t="s">
        <v>29</v>
      </c>
      <c r="G319" s="6">
        <v>1636.14</v>
      </c>
      <c r="H319" t="s">
        <v>30</v>
      </c>
      <c r="I319" s="7">
        <v>0.2</v>
      </c>
      <c r="J319" t="s">
        <v>27</v>
      </c>
      <c r="K319" t="s">
        <v>19</v>
      </c>
    </row>
    <row r="320" spans="1:11" x14ac:dyDescent="0.25">
      <c r="A320" s="1" t="s">
        <v>62</v>
      </c>
      <c r="B320" t="s">
        <v>24</v>
      </c>
      <c r="C320" t="s">
        <v>34</v>
      </c>
      <c r="D320" s="6">
        <f t="shared" si="4"/>
        <v>22228.003199999999</v>
      </c>
      <c r="E320" s="5">
        <v>13</v>
      </c>
      <c r="F320" t="s">
        <v>29</v>
      </c>
      <c r="G320" s="6">
        <v>1781.09</v>
      </c>
      <c r="H320" t="s">
        <v>30</v>
      </c>
      <c r="I320" s="7">
        <v>0.04</v>
      </c>
      <c r="J320" t="s">
        <v>18</v>
      </c>
      <c r="K320" t="s">
        <v>22</v>
      </c>
    </row>
    <row r="321" spans="1:11" x14ac:dyDescent="0.25">
      <c r="A321" s="1" t="s">
        <v>63</v>
      </c>
      <c r="B321" t="s">
        <v>33</v>
      </c>
      <c r="C321" t="s">
        <v>15</v>
      </c>
      <c r="D321" s="6">
        <f t="shared" si="4"/>
        <v>43422.960999999865</v>
      </c>
      <c r="E321" s="5">
        <v>19</v>
      </c>
      <c r="F321" t="s">
        <v>29</v>
      </c>
      <c r="G321" s="6">
        <v>3218.8999999999901</v>
      </c>
      <c r="H321" t="s">
        <v>30</v>
      </c>
      <c r="I321" s="7">
        <v>0.28999999999999998</v>
      </c>
      <c r="J321" t="s">
        <v>18</v>
      </c>
      <c r="K321" t="s">
        <v>22</v>
      </c>
    </row>
    <row r="322" spans="1:11" x14ac:dyDescent="0.25">
      <c r="A322" s="1" t="s">
        <v>63</v>
      </c>
      <c r="B322" t="s">
        <v>33</v>
      </c>
      <c r="C322" t="s">
        <v>25</v>
      </c>
      <c r="D322" s="6">
        <f t="shared" ref="D322:D385" si="5">(Unit_Price*Qty_Sold)*(1-Discount)</f>
        <v>465.46960000000001</v>
      </c>
      <c r="E322" s="5">
        <v>1</v>
      </c>
      <c r="F322" t="s">
        <v>35</v>
      </c>
      <c r="G322" s="6">
        <v>612.46</v>
      </c>
      <c r="H322" t="s">
        <v>17</v>
      </c>
      <c r="I322" s="7">
        <v>0.24</v>
      </c>
      <c r="J322" t="s">
        <v>18</v>
      </c>
      <c r="K322" t="s">
        <v>22</v>
      </c>
    </row>
    <row r="323" spans="1:11" x14ac:dyDescent="0.25">
      <c r="A323" s="1" t="s">
        <v>68</v>
      </c>
      <c r="B323" t="s">
        <v>24</v>
      </c>
      <c r="C323" t="s">
        <v>34</v>
      </c>
      <c r="D323" s="6">
        <f t="shared" si="5"/>
        <v>22339.6335</v>
      </c>
      <c r="E323" s="5">
        <v>9</v>
      </c>
      <c r="F323" t="s">
        <v>35</v>
      </c>
      <c r="G323" s="6">
        <v>2558.9499999999998</v>
      </c>
      <c r="H323" t="s">
        <v>30</v>
      </c>
      <c r="I323" s="7">
        <v>0.03</v>
      </c>
      <c r="J323" t="s">
        <v>18</v>
      </c>
      <c r="K323" t="s">
        <v>19</v>
      </c>
    </row>
    <row r="324" spans="1:11" x14ac:dyDescent="0.25">
      <c r="A324" s="1" t="s">
        <v>63</v>
      </c>
      <c r="B324" t="s">
        <v>33</v>
      </c>
      <c r="C324" t="s">
        <v>34</v>
      </c>
      <c r="D324" s="6">
        <f t="shared" si="5"/>
        <v>22654.526399999922</v>
      </c>
      <c r="E324" s="5">
        <v>9</v>
      </c>
      <c r="F324" t="s">
        <v>26</v>
      </c>
      <c r="G324" s="6">
        <v>2860.4199999999901</v>
      </c>
      <c r="H324" t="s">
        <v>30</v>
      </c>
      <c r="I324" s="7">
        <v>0.12</v>
      </c>
      <c r="J324" t="s">
        <v>18</v>
      </c>
      <c r="K324" t="s">
        <v>22</v>
      </c>
    </row>
    <row r="325" spans="1:11" x14ac:dyDescent="0.25">
      <c r="A325" s="1" t="s">
        <v>63</v>
      </c>
      <c r="B325" t="s">
        <v>14</v>
      </c>
      <c r="C325" t="s">
        <v>15</v>
      </c>
      <c r="D325" s="6">
        <f t="shared" si="5"/>
        <v>19146.160799999998</v>
      </c>
      <c r="E325" s="5">
        <v>13</v>
      </c>
      <c r="F325" t="s">
        <v>29</v>
      </c>
      <c r="G325" s="6">
        <v>2045.53</v>
      </c>
      <c r="H325" t="s">
        <v>17</v>
      </c>
      <c r="I325" s="7">
        <v>0.28000000000000003</v>
      </c>
      <c r="J325" t="s">
        <v>18</v>
      </c>
      <c r="K325" t="s">
        <v>22</v>
      </c>
    </row>
    <row r="326" spans="1:11" x14ac:dyDescent="0.25">
      <c r="A326" s="1" t="s">
        <v>63</v>
      </c>
      <c r="B326" t="s">
        <v>33</v>
      </c>
      <c r="C326" t="s">
        <v>25</v>
      </c>
      <c r="D326" s="6">
        <f t="shared" si="5"/>
        <v>93770.338999999993</v>
      </c>
      <c r="E326" s="5">
        <v>26</v>
      </c>
      <c r="F326" t="s">
        <v>29</v>
      </c>
      <c r="G326" s="6">
        <v>5079.6499999999996</v>
      </c>
      <c r="H326" t="s">
        <v>30</v>
      </c>
      <c r="I326" s="7">
        <v>0.28999999999999998</v>
      </c>
      <c r="J326" t="s">
        <v>31</v>
      </c>
      <c r="K326" t="s">
        <v>19</v>
      </c>
    </row>
    <row r="327" spans="1:11" x14ac:dyDescent="0.25">
      <c r="A327" s="1" t="s">
        <v>63</v>
      </c>
      <c r="B327" t="s">
        <v>14</v>
      </c>
      <c r="C327" t="s">
        <v>25</v>
      </c>
      <c r="D327" s="6">
        <f t="shared" si="5"/>
        <v>43509.5478</v>
      </c>
      <c r="E327" s="5">
        <v>19</v>
      </c>
      <c r="F327" t="s">
        <v>26</v>
      </c>
      <c r="G327" s="6">
        <v>2462.34</v>
      </c>
      <c r="H327" t="s">
        <v>30</v>
      </c>
      <c r="I327" s="7">
        <v>7.0000000000000007E-2</v>
      </c>
      <c r="J327" t="s">
        <v>27</v>
      </c>
      <c r="K327" t="s">
        <v>22</v>
      </c>
    </row>
    <row r="328" spans="1:11" x14ac:dyDescent="0.25">
      <c r="A328" s="1" t="s">
        <v>63</v>
      </c>
      <c r="B328" t="s">
        <v>33</v>
      </c>
      <c r="C328" t="s">
        <v>21</v>
      </c>
      <c r="D328" s="6">
        <f t="shared" si="5"/>
        <v>17061.9764</v>
      </c>
      <c r="E328" s="5">
        <v>7</v>
      </c>
      <c r="F328" t="s">
        <v>35</v>
      </c>
      <c r="G328" s="6">
        <v>2738.68</v>
      </c>
      <c r="H328" t="s">
        <v>17</v>
      </c>
      <c r="I328" s="7">
        <v>0.11</v>
      </c>
      <c r="J328" t="s">
        <v>18</v>
      </c>
      <c r="K328" t="s">
        <v>19</v>
      </c>
    </row>
    <row r="329" spans="1:11" x14ac:dyDescent="0.25">
      <c r="A329" s="1" t="s">
        <v>66</v>
      </c>
      <c r="B329" t="s">
        <v>24</v>
      </c>
      <c r="C329" t="s">
        <v>34</v>
      </c>
      <c r="D329" s="6">
        <f t="shared" si="5"/>
        <v>22602.081700000002</v>
      </c>
      <c r="E329" s="5">
        <v>11</v>
      </c>
      <c r="F329" t="s">
        <v>35</v>
      </c>
      <c r="G329" s="6">
        <v>2600.9299999999998</v>
      </c>
      <c r="H329" t="s">
        <v>30</v>
      </c>
      <c r="I329" s="7">
        <v>0.21</v>
      </c>
      <c r="J329" t="s">
        <v>27</v>
      </c>
      <c r="K329" t="s">
        <v>22</v>
      </c>
    </row>
    <row r="330" spans="1:11" x14ac:dyDescent="0.25">
      <c r="A330" s="1" t="s">
        <v>63</v>
      </c>
      <c r="B330" t="s">
        <v>33</v>
      </c>
      <c r="C330" t="s">
        <v>25</v>
      </c>
      <c r="D330" s="6">
        <f t="shared" si="5"/>
        <v>100495.12799999998</v>
      </c>
      <c r="E330" s="5">
        <v>24</v>
      </c>
      <c r="F330" t="s">
        <v>16</v>
      </c>
      <c r="G330" s="6">
        <v>4868.95</v>
      </c>
      <c r="H330" t="s">
        <v>30</v>
      </c>
      <c r="I330" s="7">
        <v>0.14000000000000001</v>
      </c>
      <c r="J330" t="s">
        <v>31</v>
      </c>
      <c r="K330" t="s">
        <v>22</v>
      </c>
    </row>
    <row r="331" spans="1:11" x14ac:dyDescent="0.25">
      <c r="A331" s="1" t="s">
        <v>63</v>
      </c>
      <c r="B331" t="s">
        <v>42</v>
      </c>
      <c r="C331" t="s">
        <v>34</v>
      </c>
      <c r="D331" s="6">
        <f t="shared" si="5"/>
        <v>16684.999099999997</v>
      </c>
      <c r="E331" s="5">
        <v>7</v>
      </c>
      <c r="F331" t="s">
        <v>26</v>
      </c>
      <c r="G331" s="6">
        <v>2457.29</v>
      </c>
      <c r="H331" t="s">
        <v>30</v>
      </c>
      <c r="I331" s="7">
        <v>0.03</v>
      </c>
      <c r="J331" t="s">
        <v>18</v>
      </c>
      <c r="K331" t="s">
        <v>22</v>
      </c>
    </row>
    <row r="332" spans="1:11" x14ac:dyDescent="0.25">
      <c r="A332" s="1" t="s">
        <v>68</v>
      </c>
      <c r="B332" t="s">
        <v>24</v>
      </c>
      <c r="C332" t="s">
        <v>15</v>
      </c>
      <c r="D332" s="6">
        <f t="shared" si="5"/>
        <v>23244.546499999997</v>
      </c>
      <c r="E332" s="5">
        <v>35</v>
      </c>
      <c r="F332" t="s">
        <v>29</v>
      </c>
      <c r="G332" s="6">
        <v>684.67</v>
      </c>
      <c r="H332" t="s">
        <v>30</v>
      </c>
      <c r="I332" s="7">
        <v>0.03</v>
      </c>
      <c r="J332" t="s">
        <v>31</v>
      </c>
      <c r="K332" t="s">
        <v>19</v>
      </c>
    </row>
    <row r="333" spans="1:11" x14ac:dyDescent="0.25">
      <c r="A333" s="1" t="s">
        <v>63</v>
      </c>
      <c r="B333" t="s">
        <v>33</v>
      </c>
      <c r="C333" t="s">
        <v>15</v>
      </c>
      <c r="D333" s="6">
        <f t="shared" si="5"/>
        <v>7139.3199999999988</v>
      </c>
      <c r="E333" s="5">
        <v>10</v>
      </c>
      <c r="F333" t="s">
        <v>29</v>
      </c>
      <c r="G333" s="6">
        <v>839.92</v>
      </c>
      <c r="H333" t="s">
        <v>17</v>
      </c>
      <c r="I333" s="7">
        <v>0.15</v>
      </c>
      <c r="J333" t="s">
        <v>27</v>
      </c>
      <c r="K333" t="s">
        <v>19</v>
      </c>
    </row>
    <row r="334" spans="1:11" x14ac:dyDescent="0.25">
      <c r="A334" s="1" t="s">
        <v>63</v>
      </c>
      <c r="B334" t="s">
        <v>42</v>
      </c>
      <c r="C334" t="s">
        <v>15</v>
      </c>
      <c r="D334" s="6">
        <f t="shared" si="5"/>
        <v>117932.64599999976</v>
      </c>
      <c r="E334" s="5">
        <v>30</v>
      </c>
      <c r="F334" t="s">
        <v>16</v>
      </c>
      <c r="G334" s="6">
        <v>4794.0099999999902</v>
      </c>
      <c r="H334" t="s">
        <v>30</v>
      </c>
      <c r="I334" s="7">
        <v>0.18</v>
      </c>
      <c r="J334" t="s">
        <v>27</v>
      </c>
      <c r="K334" t="s">
        <v>22</v>
      </c>
    </row>
    <row r="335" spans="1:11" x14ac:dyDescent="0.25">
      <c r="A335" s="1" t="s">
        <v>63</v>
      </c>
      <c r="B335" t="s">
        <v>42</v>
      </c>
      <c r="C335" t="s">
        <v>25</v>
      </c>
      <c r="D335" s="6">
        <f t="shared" si="5"/>
        <v>76821.487500000003</v>
      </c>
      <c r="E335" s="5">
        <v>31</v>
      </c>
      <c r="F335" t="s">
        <v>29</v>
      </c>
      <c r="G335" s="6">
        <v>3304.15</v>
      </c>
      <c r="H335" t="s">
        <v>17</v>
      </c>
      <c r="I335" s="7">
        <v>0.25</v>
      </c>
      <c r="J335" t="s">
        <v>31</v>
      </c>
      <c r="K335" t="s">
        <v>22</v>
      </c>
    </row>
    <row r="336" spans="1:11" x14ac:dyDescent="0.25">
      <c r="A336" s="1" t="s">
        <v>63</v>
      </c>
      <c r="B336" t="s">
        <v>33</v>
      </c>
      <c r="C336" t="s">
        <v>15</v>
      </c>
      <c r="D336" s="6">
        <f t="shared" si="5"/>
        <v>15455.705999999998</v>
      </c>
      <c r="E336" s="5">
        <v>4</v>
      </c>
      <c r="F336" t="s">
        <v>26</v>
      </c>
      <c r="G336" s="6">
        <v>5442.15</v>
      </c>
      <c r="H336" t="s">
        <v>17</v>
      </c>
      <c r="I336" s="7">
        <v>0.28999999999999998</v>
      </c>
      <c r="J336" t="s">
        <v>18</v>
      </c>
      <c r="K336" t="s">
        <v>19</v>
      </c>
    </row>
    <row r="337" spans="1:11" x14ac:dyDescent="0.25">
      <c r="A337" s="1" t="s">
        <v>62</v>
      </c>
      <c r="B337" t="s">
        <v>24</v>
      </c>
      <c r="C337" t="s">
        <v>21</v>
      </c>
      <c r="D337" s="6">
        <f t="shared" si="5"/>
        <v>23348.332800000004</v>
      </c>
      <c r="E337" s="5">
        <v>12</v>
      </c>
      <c r="F337" t="s">
        <v>35</v>
      </c>
      <c r="G337" s="6">
        <v>2494.48</v>
      </c>
      <c r="H337" t="s">
        <v>17</v>
      </c>
      <c r="I337" s="7">
        <v>0.22</v>
      </c>
      <c r="J337" t="s">
        <v>27</v>
      </c>
      <c r="K337" t="s">
        <v>19</v>
      </c>
    </row>
    <row r="338" spans="1:11" x14ac:dyDescent="0.25">
      <c r="A338" s="1" t="s">
        <v>62</v>
      </c>
      <c r="B338" t="s">
        <v>24</v>
      </c>
      <c r="C338" t="s">
        <v>21</v>
      </c>
      <c r="D338" s="6">
        <f t="shared" si="5"/>
        <v>23899.553999999996</v>
      </c>
      <c r="E338" s="5">
        <v>35</v>
      </c>
      <c r="F338" t="s">
        <v>26</v>
      </c>
      <c r="G338" s="6">
        <v>812.91</v>
      </c>
      <c r="H338" t="s">
        <v>30</v>
      </c>
      <c r="I338" s="7">
        <v>0.16</v>
      </c>
      <c r="J338" t="s">
        <v>27</v>
      </c>
      <c r="K338" t="s">
        <v>19</v>
      </c>
    </row>
    <row r="339" spans="1:11" x14ac:dyDescent="0.25">
      <c r="A339" s="1" t="s">
        <v>72</v>
      </c>
      <c r="B339" t="s">
        <v>42</v>
      </c>
      <c r="C339" t="s">
        <v>21</v>
      </c>
      <c r="D339" s="6">
        <f t="shared" si="5"/>
        <v>2753.7325000000001</v>
      </c>
      <c r="E339" s="5">
        <v>1</v>
      </c>
      <c r="F339" t="s">
        <v>16</v>
      </c>
      <c r="G339" s="6">
        <v>3317.75</v>
      </c>
      <c r="H339" t="s">
        <v>17</v>
      </c>
      <c r="I339" s="7">
        <v>0.17</v>
      </c>
      <c r="J339" t="s">
        <v>27</v>
      </c>
      <c r="K339" t="s">
        <v>19</v>
      </c>
    </row>
    <row r="340" spans="1:11" x14ac:dyDescent="0.25">
      <c r="A340" s="1" t="s">
        <v>72</v>
      </c>
      <c r="B340" t="s">
        <v>14</v>
      </c>
      <c r="C340" t="s">
        <v>25</v>
      </c>
      <c r="D340" s="6">
        <f t="shared" si="5"/>
        <v>33928.627199999995</v>
      </c>
      <c r="E340" s="5">
        <v>8</v>
      </c>
      <c r="F340" t="s">
        <v>35</v>
      </c>
      <c r="G340" s="6">
        <v>4417.79</v>
      </c>
      <c r="H340" t="s">
        <v>17</v>
      </c>
      <c r="I340" s="7">
        <v>0.04</v>
      </c>
      <c r="J340" t="s">
        <v>18</v>
      </c>
      <c r="K340" t="s">
        <v>19</v>
      </c>
    </row>
    <row r="341" spans="1:11" x14ac:dyDescent="0.25">
      <c r="A341" s="1" t="s">
        <v>72</v>
      </c>
      <c r="B341" t="s">
        <v>33</v>
      </c>
      <c r="C341" t="s">
        <v>21</v>
      </c>
      <c r="D341" s="6">
        <f t="shared" si="5"/>
        <v>101458.87079999999</v>
      </c>
      <c r="E341" s="5">
        <v>31</v>
      </c>
      <c r="F341" t="s">
        <v>35</v>
      </c>
      <c r="G341" s="6">
        <v>3339.66</v>
      </c>
      <c r="H341" t="s">
        <v>17</v>
      </c>
      <c r="I341" s="7">
        <v>0.02</v>
      </c>
      <c r="J341" t="s">
        <v>27</v>
      </c>
      <c r="K341" t="s">
        <v>19</v>
      </c>
    </row>
    <row r="342" spans="1:11" x14ac:dyDescent="0.25">
      <c r="A342" s="1" t="s">
        <v>72</v>
      </c>
      <c r="B342" t="s">
        <v>38</v>
      </c>
      <c r="C342" t="s">
        <v>21</v>
      </c>
      <c r="D342" s="6">
        <f t="shared" si="5"/>
        <v>18087.367200000001</v>
      </c>
      <c r="E342" s="5">
        <v>6</v>
      </c>
      <c r="F342" t="s">
        <v>16</v>
      </c>
      <c r="G342" s="6">
        <v>3206.98</v>
      </c>
      <c r="H342" t="s">
        <v>17</v>
      </c>
      <c r="I342" s="7">
        <v>0.06</v>
      </c>
      <c r="J342" t="s">
        <v>27</v>
      </c>
      <c r="K342" t="s">
        <v>22</v>
      </c>
    </row>
    <row r="343" spans="1:11" x14ac:dyDescent="0.25">
      <c r="A343" s="1" t="s">
        <v>72</v>
      </c>
      <c r="B343" t="s">
        <v>42</v>
      </c>
      <c r="C343" t="s">
        <v>25</v>
      </c>
      <c r="D343" s="6">
        <f t="shared" si="5"/>
        <v>176871.82500000001</v>
      </c>
      <c r="E343" s="5">
        <v>45</v>
      </c>
      <c r="F343" t="s">
        <v>26</v>
      </c>
      <c r="G343" s="6">
        <v>4624.1000000000004</v>
      </c>
      <c r="H343" t="s">
        <v>30</v>
      </c>
      <c r="I343" s="7">
        <v>0.15</v>
      </c>
      <c r="J343" t="s">
        <v>31</v>
      </c>
      <c r="K343" t="s">
        <v>22</v>
      </c>
    </row>
    <row r="344" spans="1:11" x14ac:dyDescent="0.25">
      <c r="A344" s="1" t="s">
        <v>72</v>
      </c>
      <c r="B344" t="s">
        <v>33</v>
      </c>
      <c r="C344" t="s">
        <v>34</v>
      </c>
      <c r="D344" s="6">
        <f t="shared" si="5"/>
        <v>75942.503000000012</v>
      </c>
      <c r="E344" s="5">
        <v>35</v>
      </c>
      <c r="F344" t="s">
        <v>29</v>
      </c>
      <c r="G344" s="6">
        <v>2384.38</v>
      </c>
      <c r="H344" t="s">
        <v>17</v>
      </c>
      <c r="I344" s="7">
        <v>0.09</v>
      </c>
      <c r="J344" t="s">
        <v>27</v>
      </c>
      <c r="K344" t="s">
        <v>22</v>
      </c>
    </row>
    <row r="345" spans="1:11" x14ac:dyDescent="0.25">
      <c r="A345" s="1" t="s">
        <v>72</v>
      </c>
      <c r="B345" t="s">
        <v>14</v>
      </c>
      <c r="C345" t="s">
        <v>21</v>
      </c>
      <c r="D345" s="6">
        <f t="shared" si="5"/>
        <v>121121.8125</v>
      </c>
      <c r="E345" s="5">
        <v>39</v>
      </c>
      <c r="F345" t="s">
        <v>26</v>
      </c>
      <c r="G345" s="6">
        <v>3931.25</v>
      </c>
      <c r="H345" t="s">
        <v>17</v>
      </c>
      <c r="I345" s="7">
        <v>0.21</v>
      </c>
      <c r="J345" t="s">
        <v>18</v>
      </c>
      <c r="K345" t="s">
        <v>22</v>
      </c>
    </row>
    <row r="346" spans="1:11" x14ac:dyDescent="0.25">
      <c r="A346" s="1" t="s">
        <v>72</v>
      </c>
      <c r="B346" t="s">
        <v>38</v>
      </c>
      <c r="C346" t="s">
        <v>34</v>
      </c>
      <c r="D346" s="6">
        <f t="shared" si="5"/>
        <v>34391.689099999996</v>
      </c>
      <c r="E346" s="5">
        <v>19</v>
      </c>
      <c r="F346" t="s">
        <v>29</v>
      </c>
      <c r="G346" s="6">
        <v>2180.83</v>
      </c>
      <c r="H346" t="s">
        <v>17</v>
      </c>
      <c r="I346" s="7">
        <v>0.17</v>
      </c>
      <c r="J346" t="s">
        <v>31</v>
      </c>
      <c r="K346" t="s">
        <v>22</v>
      </c>
    </row>
    <row r="347" spans="1:11" x14ac:dyDescent="0.25">
      <c r="A347" s="1" t="s">
        <v>72</v>
      </c>
      <c r="B347" t="s">
        <v>14</v>
      </c>
      <c r="C347" t="s">
        <v>25</v>
      </c>
      <c r="D347" s="6">
        <f t="shared" si="5"/>
        <v>154636.04520000002</v>
      </c>
      <c r="E347" s="5">
        <v>36</v>
      </c>
      <c r="F347" t="s">
        <v>29</v>
      </c>
      <c r="G347" s="6">
        <v>4720.2700000000004</v>
      </c>
      <c r="H347" t="s">
        <v>30</v>
      </c>
      <c r="I347" s="7">
        <v>0.09</v>
      </c>
      <c r="J347" t="s">
        <v>18</v>
      </c>
      <c r="K347" t="s">
        <v>22</v>
      </c>
    </row>
    <row r="348" spans="1:11" x14ac:dyDescent="0.25">
      <c r="A348" s="1" t="s">
        <v>72</v>
      </c>
      <c r="B348" t="s">
        <v>14</v>
      </c>
      <c r="C348" t="s">
        <v>15</v>
      </c>
      <c r="D348" s="6">
        <f t="shared" si="5"/>
        <v>43486.208000000006</v>
      </c>
      <c r="E348" s="5">
        <v>16</v>
      </c>
      <c r="F348" t="s">
        <v>16</v>
      </c>
      <c r="G348" s="6">
        <v>3397.36</v>
      </c>
      <c r="H348" t="s">
        <v>30</v>
      </c>
      <c r="I348" s="7">
        <v>0.2</v>
      </c>
      <c r="J348" t="s">
        <v>27</v>
      </c>
      <c r="K348" t="s">
        <v>22</v>
      </c>
    </row>
    <row r="349" spans="1:11" x14ac:dyDescent="0.25">
      <c r="A349" s="1" t="s">
        <v>72</v>
      </c>
      <c r="B349" t="s">
        <v>38</v>
      </c>
      <c r="C349" t="s">
        <v>25</v>
      </c>
      <c r="D349" s="6">
        <f t="shared" si="5"/>
        <v>24638.055</v>
      </c>
      <c r="E349" s="5">
        <v>26</v>
      </c>
      <c r="F349" t="s">
        <v>29</v>
      </c>
      <c r="G349" s="6">
        <v>1263.49</v>
      </c>
      <c r="H349" t="s">
        <v>17</v>
      </c>
      <c r="I349" s="7">
        <v>0.25</v>
      </c>
      <c r="J349" t="s">
        <v>27</v>
      </c>
      <c r="K349" t="s">
        <v>22</v>
      </c>
    </row>
    <row r="350" spans="1:11" x14ac:dyDescent="0.25">
      <c r="A350" s="1" t="s">
        <v>72</v>
      </c>
      <c r="B350" t="s">
        <v>14</v>
      </c>
      <c r="C350" t="s">
        <v>21</v>
      </c>
      <c r="D350" s="6">
        <f t="shared" si="5"/>
        <v>47100.804299999814</v>
      </c>
      <c r="E350" s="5">
        <v>19</v>
      </c>
      <c r="F350" t="s">
        <v>26</v>
      </c>
      <c r="G350" s="6">
        <v>2504.0299999999902</v>
      </c>
      <c r="H350" t="s">
        <v>30</v>
      </c>
      <c r="I350" s="7">
        <v>0.01</v>
      </c>
      <c r="J350" t="s">
        <v>27</v>
      </c>
      <c r="K350" t="s">
        <v>19</v>
      </c>
    </row>
    <row r="351" spans="1:11" x14ac:dyDescent="0.25">
      <c r="A351" s="1" t="s">
        <v>72</v>
      </c>
      <c r="B351" t="s">
        <v>42</v>
      </c>
      <c r="C351" t="s">
        <v>15</v>
      </c>
      <c r="D351" s="6">
        <f t="shared" si="5"/>
        <v>69311.642399999997</v>
      </c>
      <c r="E351" s="5">
        <v>24</v>
      </c>
      <c r="F351" t="s">
        <v>29</v>
      </c>
      <c r="G351" s="6">
        <v>3750.63</v>
      </c>
      <c r="H351" t="s">
        <v>30</v>
      </c>
      <c r="I351" s="7">
        <v>0.23</v>
      </c>
      <c r="J351" t="s">
        <v>27</v>
      </c>
      <c r="K351" t="s">
        <v>22</v>
      </c>
    </row>
    <row r="352" spans="1:11" x14ac:dyDescent="0.25">
      <c r="A352" s="1" t="s">
        <v>72</v>
      </c>
      <c r="B352" t="s">
        <v>38</v>
      </c>
      <c r="C352" t="s">
        <v>25</v>
      </c>
      <c r="D352" s="6">
        <f t="shared" si="5"/>
        <v>107888.27</v>
      </c>
      <c r="E352" s="5">
        <v>35</v>
      </c>
      <c r="F352" t="s">
        <v>35</v>
      </c>
      <c r="G352" s="6">
        <v>3244.76</v>
      </c>
      <c r="H352" t="s">
        <v>30</v>
      </c>
      <c r="I352" s="7">
        <v>0.05</v>
      </c>
      <c r="J352" t="s">
        <v>27</v>
      </c>
      <c r="K352" t="s">
        <v>19</v>
      </c>
    </row>
    <row r="353" spans="1:11" x14ac:dyDescent="0.25">
      <c r="A353" s="1" t="s">
        <v>73</v>
      </c>
      <c r="B353" t="s">
        <v>24</v>
      </c>
      <c r="C353" t="s">
        <v>34</v>
      </c>
      <c r="D353" s="6">
        <f t="shared" si="5"/>
        <v>24257.527699999999</v>
      </c>
      <c r="E353" s="5">
        <v>7</v>
      </c>
      <c r="F353" t="s">
        <v>29</v>
      </c>
      <c r="G353" s="6">
        <v>4747.07</v>
      </c>
      <c r="H353" t="s">
        <v>30</v>
      </c>
      <c r="I353" s="7">
        <v>0.27</v>
      </c>
      <c r="J353" t="s">
        <v>27</v>
      </c>
      <c r="K353" t="s">
        <v>22</v>
      </c>
    </row>
    <row r="354" spans="1:11" x14ac:dyDescent="0.25">
      <c r="A354" s="1" t="s">
        <v>72</v>
      </c>
      <c r="B354" t="s">
        <v>33</v>
      </c>
      <c r="C354" t="s">
        <v>15</v>
      </c>
      <c r="D354" s="6">
        <f t="shared" si="5"/>
        <v>13535.923200000001</v>
      </c>
      <c r="E354" s="5">
        <v>46</v>
      </c>
      <c r="F354" t="s">
        <v>16</v>
      </c>
      <c r="G354" s="6">
        <v>303.36</v>
      </c>
      <c r="H354" t="s">
        <v>30</v>
      </c>
      <c r="I354" s="7">
        <v>0.03</v>
      </c>
      <c r="J354" t="s">
        <v>18</v>
      </c>
      <c r="K354" t="s">
        <v>22</v>
      </c>
    </row>
    <row r="355" spans="1:11" x14ac:dyDescent="0.25">
      <c r="A355" s="1" t="s">
        <v>72</v>
      </c>
      <c r="B355" t="s">
        <v>14</v>
      </c>
      <c r="C355" t="s">
        <v>25</v>
      </c>
      <c r="D355" s="6">
        <f t="shared" si="5"/>
        <v>154043.06240000002</v>
      </c>
      <c r="E355" s="5">
        <v>43</v>
      </c>
      <c r="F355" t="s">
        <v>29</v>
      </c>
      <c r="G355" s="6">
        <v>4713.68</v>
      </c>
      <c r="H355" t="s">
        <v>17</v>
      </c>
      <c r="I355" s="7">
        <v>0.24</v>
      </c>
      <c r="J355" t="s">
        <v>27</v>
      </c>
      <c r="K355" t="s">
        <v>19</v>
      </c>
    </row>
    <row r="356" spans="1:11" x14ac:dyDescent="0.25">
      <c r="A356" s="1" t="s">
        <v>72</v>
      </c>
      <c r="B356" t="s">
        <v>14</v>
      </c>
      <c r="C356" t="s">
        <v>25</v>
      </c>
      <c r="D356" s="6">
        <f t="shared" si="5"/>
        <v>23067.911999999775</v>
      </c>
      <c r="E356" s="5">
        <v>28</v>
      </c>
      <c r="F356" t="s">
        <v>35</v>
      </c>
      <c r="G356" s="6">
        <v>1004.69999999999</v>
      </c>
      <c r="H356" t="s">
        <v>17</v>
      </c>
      <c r="I356" s="7">
        <v>0.18</v>
      </c>
      <c r="J356" t="s">
        <v>27</v>
      </c>
      <c r="K356" t="s">
        <v>19</v>
      </c>
    </row>
    <row r="357" spans="1:11" x14ac:dyDescent="0.25">
      <c r="A357" s="1" t="s">
        <v>68</v>
      </c>
      <c r="B357" t="s">
        <v>24</v>
      </c>
      <c r="C357" t="s">
        <v>34</v>
      </c>
      <c r="D357" s="6">
        <f t="shared" si="5"/>
        <v>24820.670399999999</v>
      </c>
      <c r="E357" s="5">
        <v>8</v>
      </c>
      <c r="F357" t="s">
        <v>26</v>
      </c>
      <c r="G357" s="6">
        <v>3198.54</v>
      </c>
      <c r="H357" t="s">
        <v>17</v>
      </c>
      <c r="I357" s="7">
        <v>0.03</v>
      </c>
      <c r="J357" t="s">
        <v>27</v>
      </c>
      <c r="K357" t="s">
        <v>19</v>
      </c>
    </row>
    <row r="358" spans="1:11" x14ac:dyDescent="0.25">
      <c r="A358" s="1" t="s">
        <v>72</v>
      </c>
      <c r="B358" t="s">
        <v>42</v>
      </c>
      <c r="C358" t="s">
        <v>15</v>
      </c>
      <c r="D358" s="6">
        <f t="shared" si="5"/>
        <v>145114.33299999963</v>
      </c>
      <c r="E358" s="5">
        <v>37</v>
      </c>
      <c r="F358" t="s">
        <v>35</v>
      </c>
      <c r="G358" s="6">
        <v>4172.3499999999904</v>
      </c>
      <c r="H358" t="s">
        <v>17</v>
      </c>
      <c r="I358" s="7">
        <v>0.06</v>
      </c>
      <c r="J358" t="s">
        <v>18</v>
      </c>
      <c r="K358" t="s">
        <v>22</v>
      </c>
    </row>
    <row r="359" spans="1:11" x14ac:dyDescent="0.25">
      <c r="A359" s="1" t="s">
        <v>72</v>
      </c>
      <c r="B359" t="s">
        <v>38</v>
      </c>
      <c r="C359" t="s">
        <v>21</v>
      </c>
      <c r="D359" s="6">
        <f t="shared" si="5"/>
        <v>119952.92800000001</v>
      </c>
      <c r="E359" s="5">
        <v>40</v>
      </c>
      <c r="F359" t="s">
        <v>16</v>
      </c>
      <c r="G359" s="6">
        <v>3945.82</v>
      </c>
      <c r="H359" t="s">
        <v>30</v>
      </c>
      <c r="I359" s="7">
        <v>0.24</v>
      </c>
      <c r="J359" t="s">
        <v>27</v>
      </c>
      <c r="K359" t="s">
        <v>19</v>
      </c>
    </row>
    <row r="360" spans="1:11" x14ac:dyDescent="0.25">
      <c r="A360" s="1" t="s">
        <v>69</v>
      </c>
      <c r="B360" t="s">
        <v>24</v>
      </c>
      <c r="C360" t="s">
        <v>34</v>
      </c>
      <c r="D360" s="6">
        <f t="shared" si="5"/>
        <v>25062.36</v>
      </c>
      <c r="E360" s="5">
        <v>8</v>
      </c>
      <c r="F360" t="s">
        <v>26</v>
      </c>
      <c r="G360" s="6">
        <v>4177.0600000000004</v>
      </c>
      <c r="H360" t="s">
        <v>17</v>
      </c>
      <c r="I360" s="7">
        <v>0.25</v>
      </c>
      <c r="J360" t="s">
        <v>27</v>
      </c>
      <c r="K360" t="s">
        <v>22</v>
      </c>
    </row>
    <row r="361" spans="1:11" x14ac:dyDescent="0.25">
      <c r="A361" s="1" t="s">
        <v>72</v>
      </c>
      <c r="B361" t="s">
        <v>38</v>
      </c>
      <c r="C361" t="s">
        <v>15</v>
      </c>
      <c r="D361" s="6">
        <f t="shared" si="5"/>
        <v>34231.428</v>
      </c>
      <c r="E361" s="5">
        <v>40</v>
      </c>
      <c r="F361" t="s">
        <v>16</v>
      </c>
      <c r="G361" s="6">
        <v>1111.4100000000001</v>
      </c>
      <c r="H361" t="s">
        <v>30</v>
      </c>
      <c r="I361" s="7">
        <v>0.23</v>
      </c>
      <c r="J361" t="s">
        <v>27</v>
      </c>
      <c r="K361" t="s">
        <v>19</v>
      </c>
    </row>
    <row r="362" spans="1:11" x14ac:dyDescent="0.25">
      <c r="A362" s="1" t="s">
        <v>63</v>
      </c>
      <c r="B362" t="s">
        <v>24</v>
      </c>
      <c r="C362" t="s">
        <v>25</v>
      </c>
      <c r="D362" s="6">
        <f t="shared" si="5"/>
        <v>25472.1384</v>
      </c>
      <c r="E362" s="5">
        <v>6</v>
      </c>
      <c r="F362" t="s">
        <v>16</v>
      </c>
      <c r="G362" s="6">
        <v>4879.72</v>
      </c>
      <c r="H362" t="s">
        <v>30</v>
      </c>
      <c r="I362" s="7">
        <v>0.13</v>
      </c>
      <c r="J362" t="s">
        <v>31</v>
      </c>
      <c r="K362" t="s">
        <v>19</v>
      </c>
    </row>
    <row r="363" spans="1:11" x14ac:dyDescent="0.25">
      <c r="A363" s="1" t="s">
        <v>72</v>
      </c>
      <c r="B363" t="s">
        <v>14</v>
      </c>
      <c r="C363" t="s">
        <v>34</v>
      </c>
      <c r="D363" s="6">
        <f t="shared" si="5"/>
        <v>10787.6594</v>
      </c>
      <c r="E363" s="5">
        <v>17</v>
      </c>
      <c r="F363" t="s">
        <v>16</v>
      </c>
      <c r="G363" s="6">
        <v>764.54</v>
      </c>
      <c r="H363" t="s">
        <v>17</v>
      </c>
      <c r="I363" s="7">
        <v>0.17</v>
      </c>
      <c r="J363" t="s">
        <v>31</v>
      </c>
      <c r="K363" t="s">
        <v>22</v>
      </c>
    </row>
    <row r="364" spans="1:11" x14ac:dyDescent="0.25">
      <c r="A364" s="1" t="s">
        <v>72</v>
      </c>
      <c r="B364" t="s">
        <v>42</v>
      </c>
      <c r="C364" t="s">
        <v>25</v>
      </c>
      <c r="D364" s="6">
        <f t="shared" si="5"/>
        <v>64991.609399999637</v>
      </c>
      <c r="E364" s="5">
        <v>47</v>
      </c>
      <c r="F364" t="s">
        <v>29</v>
      </c>
      <c r="G364" s="6">
        <v>1750.3799999999901</v>
      </c>
      <c r="H364" t="s">
        <v>30</v>
      </c>
      <c r="I364" s="7">
        <v>0.21</v>
      </c>
      <c r="J364" t="s">
        <v>31</v>
      </c>
      <c r="K364" t="s">
        <v>19</v>
      </c>
    </row>
    <row r="365" spans="1:11" x14ac:dyDescent="0.25">
      <c r="A365" s="1" t="s">
        <v>72</v>
      </c>
      <c r="B365" t="s">
        <v>42</v>
      </c>
      <c r="C365" t="s">
        <v>15</v>
      </c>
      <c r="D365" s="6">
        <f t="shared" si="5"/>
        <v>21908.524799999999</v>
      </c>
      <c r="E365" s="5">
        <v>6</v>
      </c>
      <c r="F365" t="s">
        <v>16</v>
      </c>
      <c r="G365" s="6">
        <v>4102.72</v>
      </c>
      <c r="H365" t="s">
        <v>30</v>
      </c>
      <c r="I365" s="7">
        <v>0.11</v>
      </c>
      <c r="J365" t="s">
        <v>31</v>
      </c>
      <c r="K365" t="s">
        <v>22</v>
      </c>
    </row>
    <row r="366" spans="1:11" x14ac:dyDescent="0.25">
      <c r="A366" s="1" t="s">
        <v>72</v>
      </c>
      <c r="B366" t="s">
        <v>33</v>
      </c>
      <c r="C366" t="s">
        <v>21</v>
      </c>
      <c r="D366" s="6">
        <f t="shared" si="5"/>
        <v>42890.702399999995</v>
      </c>
      <c r="E366" s="5">
        <v>26</v>
      </c>
      <c r="F366" t="s">
        <v>29</v>
      </c>
      <c r="G366" s="6">
        <v>2291.17</v>
      </c>
      <c r="H366" t="s">
        <v>17</v>
      </c>
      <c r="I366" s="7">
        <v>0.28000000000000003</v>
      </c>
      <c r="J366" t="s">
        <v>18</v>
      </c>
      <c r="K366" t="s">
        <v>19</v>
      </c>
    </row>
    <row r="367" spans="1:11" x14ac:dyDescent="0.25">
      <c r="A367" s="1" t="s">
        <v>72</v>
      </c>
      <c r="B367" t="s">
        <v>38</v>
      </c>
      <c r="C367" t="s">
        <v>25</v>
      </c>
      <c r="D367" s="6">
        <f t="shared" si="5"/>
        <v>37887.704399999995</v>
      </c>
      <c r="E367" s="5">
        <v>13</v>
      </c>
      <c r="F367" t="s">
        <v>26</v>
      </c>
      <c r="G367" s="6">
        <v>3202.68</v>
      </c>
      <c r="H367" t="s">
        <v>30</v>
      </c>
      <c r="I367" s="7">
        <v>0.09</v>
      </c>
      <c r="J367" t="s">
        <v>18</v>
      </c>
      <c r="K367" t="s">
        <v>19</v>
      </c>
    </row>
    <row r="368" spans="1:11" x14ac:dyDescent="0.25">
      <c r="A368" s="1" t="s">
        <v>72</v>
      </c>
      <c r="B368" t="s">
        <v>14</v>
      </c>
      <c r="C368" t="s">
        <v>25</v>
      </c>
      <c r="D368" s="6">
        <f t="shared" si="5"/>
        <v>40512.956000000006</v>
      </c>
      <c r="E368" s="5">
        <v>20</v>
      </c>
      <c r="F368" t="s">
        <v>29</v>
      </c>
      <c r="G368" s="6">
        <v>2774.86</v>
      </c>
      <c r="H368" t="s">
        <v>30</v>
      </c>
      <c r="I368" s="7">
        <v>0.27</v>
      </c>
      <c r="J368" t="s">
        <v>31</v>
      </c>
      <c r="K368" t="s">
        <v>22</v>
      </c>
    </row>
    <row r="369" spans="1:13" x14ac:dyDescent="0.25">
      <c r="A369" s="1" t="s">
        <v>72</v>
      </c>
      <c r="B369" t="s">
        <v>42</v>
      </c>
      <c r="C369" t="s">
        <v>25</v>
      </c>
      <c r="D369" s="6">
        <f t="shared" si="5"/>
        <v>143601.33599999998</v>
      </c>
      <c r="E369" s="5">
        <v>48</v>
      </c>
      <c r="F369" t="s">
        <v>26</v>
      </c>
      <c r="G369" s="6">
        <v>3693.45</v>
      </c>
      <c r="H369" t="s">
        <v>17</v>
      </c>
      <c r="I369" s="7">
        <v>0.19</v>
      </c>
      <c r="J369" t="s">
        <v>27</v>
      </c>
      <c r="K369" t="s">
        <v>19</v>
      </c>
    </row>
    <row r="370" spans="1:13" x14ac:dyDescent="0.25">
      <c r="A370" s="1" t="s">
        <v>69</v>
      </c>
      <c r="B370" t="s">
        <v>24</v>
      </c>
      <c r="C370" t="s">
        <v>21</v>
      </c>
      <c r="D370" s="6">
        <f t="shared" si="5"/>
        <v>25962.331999999999</v>
      </c>
      <c r="E370" s="5">
        <v>8</v>
      </c>
      <c r="F370" t="s">
        <v>29</v>
      </c>
      <c r="G370" s="6">
        <v>3817.99</v>
      </c>
      <c r="H370" t="s">
        <v>17</v>
      </c>
      <c r="I370" s="7">
        <v>0.15</v>
      </c>
      <c r="J370" t="s">
        <v>18</v>
      </c>
      <c r="K370" t="s">
        <v>22</v>
      </c>
    </row>
    <row r="371" spans="1:13" x14ac:dyDescent="0.25">
      <c r="A371" s="1" t="s">
        <v>72</v>
      </c>
      <c r="B371" t="s">
        <v>33</v>
      </c>
      <c r="C371" t="s">
        <v>21</v>
      </c>
      <c r="D371" s="6">
        <f t="shared" si="5"/>
        <v>59393.62</v>
      </c>
      <c r="E371" s="5">
        <v>44</v>
      </c>
      <c r="F371" t="s">
        <v>35</v>
      </c>
      <c r="G371" s="6">
        <v>1420.9</v>
      </c>
      <c r="H371" t="s">
        <v>17</v>
      </c>
      <c r="I371" s="7">
        <v>0.05</v>
      </c>
      <c r="J371" t="s">
        <v>31</v>
      </c>
      <c r="K371" t="s">
        <v>19</v>
      </c>
    </row>
    <row r="372" spans="1:13" x14ac:dyDescent="0.25">
      <c r="A372" s="1" t="s">
        <v>72</v>
      </c>
      <c r="B372" t="s">
        <v>33</v>
      </c>
      <c r="C372" t="s">
        <v>15</v>
      </c>
      <c r="D372" s="6">
        <f t="shared" si="5"/>
        <v>57598.6944</v>
      </c>
      <c r="E372" s="5">
        <v>32</v>
      </c>
      <c r="F372" t="s">
        <v>26</v>
      </c>
      <c r="G372" s="6">
        <v>2307.64</v>
      </c>
      <c r="H372" t="s">
        <v>17</v>
      </c>
      <c r="I372" s="7">
        <v>0.22</v>
      </c>
      <c r="J372" t="s">
        <v>27</v>
      </c>
      <c r="K372" t="s">
        <v>19</v>
      </c>
    </row>
    <row r="373" spans="1:13" x14ac:dyDescent="0.25">
      <c r="A373" s="1" t="s">
        <v>72</v>
      </c>
      <c r="B373" t="s">
        <v>14</v>
      </c>
      <c r="C373" t="s">
        <v>34</v>
      </c>
      <c r="D373" s="6">
        <f t="shared" si="5"/>
        <v>1412.7244000000001</v>
      </c>
      <c r="E373" s="5">
        <v>1</v>
      </c>
      <c r="F373" t="s">
        <v>35</v>
      </c>
      <c r="G373" s="6">
        <v>1535.57</v>
      </c>
      <c r="H373" t="s">
        <v>30</v>
      </c>
      <c r="I373" s="7">
        <v>0.08</v>
      </c>
      <c r="J373" t="s">
        <v>31</v>
      </c>
      <c r="K373" t="s">
        <v>22</v>
      </c>
    </row>
    <row r="374" spans="1:13" x14ac:dyDescent="0.25">
      <c r="A374" s="1" t="s">
        <v>72</v>
      </c>
      <c r="B374" t="s">
        <v>33</v>
      </c>
      <c r="C374" t="s">
        <v>21</v>
      </c>
      <c r="D374" s="6">
        <f t="shared" si="5"/>
        <v>57305.523999999998</v>
      </c>
      <c r="E374" s="5">
        <v>20</v>
      </c>
      <c r="F374" t="s">
        <v>29</v>
      </c>
      <c r="G374" s="6">
        <v>3452.14</v>
      </c>
      <c r="H374" t="s">
        <v>30</v>
      </c>
      <c r="I374" s="7">
        <v>0.17</v>
      </c>
      <c r="J374" t="s">
        <v>31</v>
      </c>
      <c r="K374" t="s">
        <v>22</v>
      </c>
    </row>
    <row r="375" spans="1:13" x14ac:dyDescent="0.25">
      <c r="A375" s="1" t="s">
        <v>72</v>
      </c>
      <c r="B375" t="s">
        <v>33</v>
      </c>
      <c r="C375" t="s">
        <v>21</v>
      </c>
      <c r="D375" s="6">
        <f t="shared" si="5"/>
        <v>40282.18499999999</v>
      </c>
      <c r="E375" s="5">
        <v>10</v>
      </c>
      <c r="F375" t="s">
        <v>35</v>
      </c>
      <c r="G375" s="6">
        <v>4240.2299999999996</v>
      </c>
      <c r="H375" t="s">
        <v>30</v>
      </c>
      <c r="I375" s="7">
        <v>0.05</v>
      </c>
      <c r="J375" t="s">
        <v>31</v>
      </c>
      <c r="K375" t="s">
        <v>19</v>
      </c>
    </row>
    <row r="376" spans="1:13" x14ac:dyDescent="0.25">
      <c r="A376" s="1" t="s">
        <v>72</v>
      </c>
      <c r="B376" t="s">
        <v>42</v>
      </c>
      <c r="C376" t="s">
        <v>15</v>
      </c>
      <c r="D376" s="6">
        <f t="shared" si="5"/>
        <v>132442.91999999998</v>
      </c>
      <c r="E376" s="5">
        <v>34</v>
      </c>
      <c r="F376" t="s">
        <v>16</v>
      </c>
      <c r="G376" s="6">
        <v>4100.3999999999996</v>
      </c>
      <c r="H376" t="s">
        <v>17</v>
      </c>
      <c r="I376" s="7">
        <v>0.05</v>
      </c>
      <c r="J376" t="s">
        <v>27</v>
      </c>
      <c r="K376" t="s">
        <v>22</v>
      </c>
    </row>
    <row r="377" spans="1:13" x14ac:dyDescent="0.25">
      <c r="A377" s="1" t="s">
        <v>65</v>
      </c>
      <c r="B377" t="s">
        <v>24</v>
      </c>
      <c r="C377" t="s">
        <v>25</v>
      </c>
      <c r="D377" s="6">
        <f t="shared" si="5"/>
        <v>26666.851199999997</v>
      </c>
      <c r="E377" s="5">
        <v>12</v>
      </c>
      <c r="F377" t="s">
        <v>35</v>
      </c>
      <c r="G377" s="6">
        <v>2525.27</v>
      </c>
      <c r="H377" t="s">
        <v>17</v>
      </c>
      <c r="I377" s="7">
        <v>0.12</v>
      </c>
      <c r="J377" t="s">
        <v>31</v>
      </c>
      <c r="K377" t="s">
        <v>22</v>
      </c>
    </row>
    <row r="378" spans="1:13" x14ac:dyDescent="0.25">
      <c r="A378" s="1" t="s">
        <v>72</v>
      </c>
      <c r="B378" t="s">
        <v>33</v>
      </c>
      <c r="C378" t="s">
        <v>25</v>
      </c>
      <c r="D378" s="6">
        <f t="shared" si="5"/>
        <v>42001.4</v>
      </c>
      <c r="E378" s="5">
        <v>14</v>
      </c>
      <c r="F378" t="s">
        <v>16</v>
      </c>
      <c r="G378" s="6">
        <v>3947.5</v>
      </c>
      <c r="H378" t="s">
        <v>17</v>
      </c>
      <c r="I378" s="7">
        <v>0.24</v>
      </c>
      <c r="J378" t="s">
        <v>27</v>
      </c>
      <c r="K378" t="s">
        <v>19</v>
      </c>
    </row>
    <row r="379" spans="1:13" x14ac:dyDescent="0.25">
      <c r="A379" s="1" t="s">
        <v>70</v>
      </c>
      <c r="B379" t="s">
        <v>24</v>
      </c>
      <c r="C379" t="s">
        <v>21</v>
      </c>
      <c r="D379" s="6">
        <f t="shared" si="5"/>
        <v>26956.394399999997</v>
      </c>
      <c r="E379" s="5">
        <v>39</v>
      </c>
      <c r="F379" t="s">
        <v>29</v>
      </c>
      <c r="G379" s="6">
        <v>934.04</v>
      </c>
      <c r="H379" t="s">
        <v>30</v>
      </c>
      <c r="I379" s="7">
        <v>0.26</v>
      </c>
      <c r="J379" t="s">
        <v>27</v>
      </c>
      <c r="K379" t="s">
        <v>22</v>
      </c>
    </row>
    <row r="380" spans="1:13" x14ac:dyDescent="0.25">
      <c r="A380" s="1" t="s">
        <v>67</v>
      </c>
      <c r="B380" t="s">
        <v>24</v>
      </c>
      <c r="C380" t="s">
        <v>21</v>
      </c>
      <c r="D380" s="6">
        <f t="shared" si="5"/>
        <v>27046.656000000003</v>
      </c>
      <c r="E380" s="5">
        <v>12</v>
      </c>
      <c r="F380" t="s">
        <v>16</v>
      </c>
      <c r="G380" s="6">
        <v>2476.8000000000002</v>
      </c>
      <c r="H380" t="s">
        <v>30</v>
      </c>
      <c r="I380" s="7">
        <v>0.09</v>
      </c>
      <c r="J380" t="s">
        <v>18</v>
      </c>
      <c r="K380" t="s">
        <v>22</v>
      </c>
      <c r="M380" s="10"/>
    </row>
    <row r="381" spans="1:13" x14ac:dyDescent="0.25">
      <c r="A381" s="1" t="s">
        <v>72</v>
      </c>
      <c r="B381" t="s">
        <v>38</v>
      </c>
      <c r="C381" t="s">
        <v>34</v>
      </c>
      <c r="D381" s="6">
        <f t="shared" si="5"/>
        <v>5273.3872000000001</v>
      </c>
      <c r="E381" s="5">
        <v>8</v>
      </c>
      <c r="F381" t="s">
        <v>29</v>
      </c>
      <c r="G381" s="6">
        <v>803.87</v>
      </c>
      <c r="H381" t="s">
        <v>30</v>
      </c>
      <c r="I381" s="7">
        <v>0.18</v>
      </c>
      <c r="J381" t="s">
        <v>18</v>
      </c>
      <c r="K381" t="s">
        <v>22</v>
      </c>
    </row>
    <row r="382" spans="1:13" x14ac:dyDescent="0.25">
      <c r="A382" s="1" t="s">
        <v>72</v>
      </c>
      <c r="B382" t="s">
        <v>42</v>
      </c>
      <c r="C382" t="s">
        <v>15</v>
      </c>
      <c r="D382" s="6">
        <f t="shared" si="5"/>
        <v>12754.055999999973</v>
      </c>
      <c r="E382" s="5">
        <v>30</v>
      </c>
      <c r="F382" t="s">
        <v>35</v>
      </c>
      <c r="G382" s="6">
        <v>477.67999999999898</v>
      </c>
      <c r="H382" t="s">
        <v>30</v>
      </c>
      <c r="I382" s="7">
        <v>0.11</v>
      </c>
      <c r="J382" t="s">
        <v>27</v>
      </c>
      <c r="K382" t="s">
        <v>22</v>
      </c>
    </row>
    <row r="383" spans="1:13" x14ac:dyDescent="0.25">
      <c r="A383" s="1" t="s">
        <v>72</v>
      </c>
      <c r="B383" t="s">
        <v>14</v>
      </c>
      <c r="C383" t="s">
        <v>21</v>
      </c>
      <c r="D383" s="6">
        <f t="shared" si="5"/>
        <v>82639.806500000006</v>
      </c>
      <c r="E383" s="5">
        <v>29</v>
      </c>
      <c r="F383" t="s">
        <v>26</v>
      </c>
      <c r="G383" s="6">
        <v>3607.15</v>
      </c>
      <c r="H383" t="s">
        <v>17</v>
      </c>
      <c r="I383" s="7">
        <v>0.21</v>
      </c>
      <c r="J383" t="s">
        <v>18</v>
      </c>
      <c r="K383" t="s">
        <v>22</v>
      </c>
    </row>
    <row r="384" spans="1:13" x14ac:dyDescent="0.25">
      <c r="A384" s="1" t="s">
        <v>72</v>
      </c>
      <c r="B384" t="s">
        <v>42</v>
      </c>
      <c r="C384" t="s">
        <v>15</v>
      </c>
      <c r="D384" s="6">
        <f t="shared" si="5"/>
        <v>137225.55599999969</v>
      </c>
      <c r="E384" s="5">
        <v>36</v>
      </c>
      <c r="F384" t="s">
        <v>26</v>
      </c>
      <c r="G384" s="6">
        <v>4432.3499999999904</v>
      </c>
      <c r="H384" t="s">
        <v>30</v>
      </c>
      <c r="I384" s="7">
        <v>0.14000000000000001</v>
      </c>
      <c r="J384" t="s">
        <v>18</v>
      </c>
      <c r="K384" t="s">
        <v>19</v>
      </c>
    </row>
    <row r="385" spans="1:11" x14ac:dyDescent="0.25">
      <c r="A385" s="1" t="s">
        <v>72</v>
      </c>
      <c r="B385" t="s">
        <v>14</v>
      </c>
      <c r="C385" t="s">
        <v>15</v>
      </c>
      <c r="D385" s="6">
        <f t="shared" si="5"/>
        <v>160630.3872</v>
      </c>
      <c r="E385" s="5">
        <v>36</v>
      </c>
      <c r="F385" t="s">
        <v>26</v>
      </c>
      <c r="G385" s="6">
        <v>4647.87</v>
      </c>
      <c r="H385" t="s">
        <v>30</v>
      </c>
      <c r="I385" s="7">
        <v>0.04</v>
      </c>
      <c r="J385" t="s">
        <v>27</v>
      </c>
      <c r="K385" t="s">
        <v>19</v>
      </c>
    </row>
    <row r="386" spans="1:11" x14ac:dyDescent="0.25">
      <c r="A386" s="1" t="s">
        <v>70</v>
      </c>
      <c r="B386" t="s">
        <v>24</v>
      </c>
      <c r="C386" t="s">
        <v>34</v>
      </c>
      <c r="D386" s="6">
        <f t="shared" ref="D386:D449" si="6">(Unit_Price*Qty_Sold)*(1-Discount)</f>
        <v>28380.104800000001</v>
      </c>
      <c r="E386" s="5">
        <v>8</v>
      </c>
      <c r="F386" t="s">
        <v>16</v>
      </c>
      <c r="G386" s="6">
        <v>3657.23</v>
      </c>
      <c r="H386" t="s">
        <v>17</v>
      </c>
      <c r="I386" s="7">
        <v>0.03</v>
      </c>
      <c r="J386" t="s">
        <v>27</v>
      </c>
      <c r="K386" t="s">
        <v>19</v>
      </c>
    </row>
    <row r="387" spans="1:11" x14ac:dyDescent="0.25">
      <c r="A387" s="1" t="s">
        <v>72</v>
      </c>
      <c r="B387" t="s">
        <v>14</v>
      </c>
      <c r="C387" t="s">
        <v>34</v>
      </c>
      <c r="D387" s="6">
        <f t="shared" si="6"/>
        <v>57909.286800000002</v>
      </c>
      <c r="E387" s="5">
        <v>19</v>
      </c>
      <c r="F387" t="s">
        <v>29</v>
      </c>
      <c r="G387" s="6">
        <v>3544.02</v>
      </c>
      <c r="H387" t="s">
        <v>17</v>
      </c>
      <c r="I387" s="7">
        <v>0.14000000000000001</v>
      </c>
      <c r="J387" t="s">
        <v>18</v>
      </c>
      <c r="K387" t="s">
        <v>19</v>
      </c>
    </row>
    <row r="388" spans="1:11" x14ac:dyDescent="0.25">
      <c r="A388" s="1" t="s">
        <v>71</v>
      </c>
      <c r="B388" t="s">
        <v>24</v>
      </c>
      <c r="C388" t="s">
        <v>25</v>
      </c>
      <c r="D388" s="6">
        <f t="shared" si="6"/>
        <v>29180.03199999989</v>
      </c>
      <c r="E388" s="5">
        <v>14</v>
      </c>
      <c r="F388" t="s">
        <v>29</v>
      </c>
      <c r="G388" s="6">
        <v>2605.3599999999901</v>
      </c>
      <c r="H388" t="s">
        <v>17</v>
      </c>
      <c r="I388" s="7">
        <v>0.2</v>
      </c>
      <c r="J388" t="s">
        <v>31</v>
      </c>
      <c r="K388" t="s">
        <v>22</v>
      </c>
    </row>
    <row r="389" spans="1:11" x14ac:dyDescent="0.25">
      <c r="A389" s="1" t="s">
        <v>72</v>
      </c>
      <c r="B389" t="s">
        <v>14</v>
      </c>
      <c r="C389" t="s">
        <v>15</v>
      </c>
      <c r="D389" s="6">
        <f t="shared" si="6"/>
        <v>60186.772799999999</v>
      </c>
      <c r="E389" s="5">
        <v>16</v>
      </c>
      <c r="F389" t="s">
        <v>26</v>
      </c>
      <c r="G389" s="6">
        <v>3799.67</v>
      </c>
      <c r="H389" t="s">
        <v>17</v>
      </c>
      <c r="I389" s="7">
        <v>0.01</v>
      </c>
      <c r="J389" t="s">
        <v>18</v>
      </c>
      <c r="K389" t="s">
        <v>22</v>
      </c>
    </row>
    <row r="390" spans="1:11" x14ac:dyDescent="0.25">
      <c r="A390" s="1" t="s">
        <v>72</v>
      </c>
      <c r="B390" t="s">
        <v>42</v>
      </c>
      <c r="C390" t="s">
        <v>34</v>
      </c>
      <c r="D390" s="6">
        <f t="shared" si="6"/>
        <v>107152.8276</v>
      </c>
      <c r="E390" s="5">
        <v>28</v>
      </c>
      <c r="F390" t="s">
        <v>16</v>
      </c>
      <c r="G390" s="6">
        <v>4205.37</v>
      </c>
      <c r="H390" t="s">
        <v>30</v>
      </c>
      <c r="I390" s="7">
        <v>0.09</v>
      </c>
      <c r="J390" t="s">
        <v>31</v>
      </c>
      <c r="K390" t="s">
        <v>19</v>
      </c>
    </row>
    <row r="391" spans="1:11" x14ac:dyDescent="0.25">
      <c r="A391" s="1" t="s">
        <v>72</v>
      </c>
      <c r="B391" t="s">
        <v>38</v>
      </c>
      <c r="C391" t="s">
        <v>15</v>
      </c>
      <c r="D391" s="6">
        <f t="shared" si="6"/>
        <v>2839.1383999999998</v>
      </c>
      <c r="E391" s="5">
        <v>2</v>
      </c>
      <c r="F391" t="s">
        <v>29</v>
      </c>
      <c r="G391" s="6">
        <v>1448.54</v>
      </c>
      <c r="H391" t="s">
        <v>17</v>
      </c>
      <c r="I391" s="7">
        <v>0.02</v>
      </c>
      <c r="J391" t="s">
        <v>27</v>
      </c>
      <c r="K391" t="s">
        <v>22</v>
      </c>
    </row>
    <row r="392" spans="1:11" x14ac:dyDescent="0.25">
      <c r="A392" s="1" t="s">
        <v>72</v>
      </c>
      <c r="B392" t="s">
        <v>42</v>
      </c>
      <c r="C392" t="s">
        <v>21</v>
      </c>
      <c r="D392" s="6">
        <f t="shared" si="6"/>
        <v>20098.548000000003</v>
      </c>
      <c r="E392" s="5">
        <v>37</v>
      </c>
      <c r="F392" t="s">
        <v>16</v>
      </c>
      <c r="G392" s="6">
        <v>687.6</v>
      </c>
      <c r="H392" t="s">
        <v>17</v>
      </c>
      <c r="I392" s="7">
        <v>0.21</v>
      </c>
      <c r="J392" t="s">
        <v>18</v>
      </c>
      <c r="K392" t="s">
        <v>19</v>
      </c>
    </row>
    <row r="393" spans="1:11" x14ac:dyDescent="0.25">
      <c r="A393" s="1" t="s">
        <v>72</v>
      </c>
      <c r="B393" t="s">
        <v>14</v>
      </c>
      <c r="C393" t="s">
        <v>15</v>
      </c>
      <c r="D393" s="6">
        <f t="shared" si="6"/>
        <v>18992.232</v>
      </c>
      <c r="E393" s="5">
        <v>45</v>
      </c>
      <c r="F393" t="s">
        <v>16</v>
      </c>
      <c r="G393" s="6">
        <v>586.17999999999995</v>
      </c>
      <c r="H393" t="s">
        <v>17</v>
      </c>
      <c r="I393" s="7">
        <v>0.28000000000000003</v>
      </c>
      <c r="J393" t="s">
        <v>31</v>
      </c>
      <c r="K393" t="s">
        <v>22</v>
      </c>
    </row>
    <row r="394" spans="1:11" x14ac:dyDescent="0.25">
      <c r="A394" s="1" t="s">
        <v>72</v>
      </c>
      <c r="B394" t="s">
        <v>14</v>
      </c>
      <c r="C394" t="s">
        <v>21</v>
      </c>
      <c r="D394" s="6">
        <f t="shared" si="6"/>
        <v>60398.46</v>
      </c>
      <c r="E394" s="5">
        <v>25</v>
      </c>
      <c r="F394" t="s">
        <v>26</v>
      </c>
      <c r="G394" s="6">
        <v>2626.02</v>
      </c>
      <c r="H394" t="s">
        <v>30</v>
      </c>
      <c r="I394" s="7">
        <v>0.08</v>
      </c>
      <c r="J394" t="s">
        <v>27</v>
      </c>
      <c r="K394" t="s">
        <v>19</v>
      </c>
    </row>
    <row r="395" spans="1:11" x14ac:dyDescent="0.25">
      <c r="A395" s="1" t="s">
        <v>72</v>
      </c>
      <c r="B395" t="s">
        <v>38</v>
      </c>
      <c r="C395" t="s">
        <v>34</v>
      </c>
      <c r="D395" s="6">
        <f t="shared" si="6"/>
        <v>17320.087199999998</v>
      </c>
      <c r="E395" s="5">
        <v>39</v>
      </c>
      <c r="F395" t="s">
        <v>29</v>
      </c>
      <c r="G395" s="6">
        <v>457.84</v>
      </c>
      <c r="H395" t="s">
        <v>30</v>
      </c>
      <c r="I395" s="7">
        <v>0.03</v>
      </c>
      <c r="J395" t="s">
        <v>31</v>
      </c>
      <c r="K395" t="s">
        <v>19</v>
      </c>
    </row>
    <row r="396" spans="1:11" x14ac:dyDescent="0.25">
      <c r="A396" s="1" t="s">
        <v>72</v>
      </c>
      <c r="B396" t="s">
        <v>14</v>
      </c>
      <c r="C396" t="s">
        <v>34</v>
      </c>
      <c r="D396" s="6">
        <f t="shared" si="6"/>
        <v>121602.6504</v>
      </c>
      <c r="E396" s="5">
        <v>36</v>
      </c>
      <c r="F396" t="s">
        <v>29</v>
      </c>
      <c r="G396" s="6">
        <v>4386.82</v>
      </c>
      <c r="H396" t="s">
        <v>17</v>
      </c>
      <c r="I396" s="7">
        <v>0.23</v>
      </c>
      <c r="J396" t="s">
        <v>31</v>
      </c>
      <c r="K396" t="s">
        <v>19</v>
      </c>
    </row>
    <row r="397" spans="1:11" x14ac:dyDescent="0.25">
      <c r="A397" s="1" t="s">
        <v>72</v>
      </c>
      <c r="B397" t="s">
        <v>38</v>
      </c>
      <c r="C397" t="s">
        <v>25</v>
      </c>
      <c r="D397" s="6">
        <f t="shared" si="6"/>
        <v>101804.73599999979</v>
      </c>
      <c r="E397" s="5">
        <v>22</v>
      </c>
      <c r="F397" t="s">
        <v>35</v>
      </c>
      <c r="G397" s="6">
        <v>4820.2999999999902</v>
      </c>
      <c r="H397" t="s">
        <v>30</v>
      </c>
      <c r="I397" s="7">
        <v>0.04</v>
      </c>
      <c r="J397" t="s">
        <v>18</v>
      </c>
      <c r="K397" t="s">
        <v>19</v>
      </c>
    </row>
    <row r="398" spans="1:11" x14ac:dyDescent="0.25">
      <c r="A398" s="1" t="s">
        <v>69</v>
      </c>
      <c r="B398" t="s">
        <v>24</v>
      </c>
      <c r="C398" t="s">
        <v>34</v>
      </c>
      <c r="D398" s="6">
        <f t="shared" si="6"/>
        <v>29695.319999999821</v>
      </c>
      <c r="E398" s="5">
        <v>20</v>
      </c>
      <c r="F398" t="s">
        <v>35</v>
      </c>
      <c r="G398" s="6">
        <v>1649.73999999999</v>
      </c>
      <c r="H398" t="s">
        <v>17</v>
      </c>
      <c r="I398" s="7">
        <v>0.1</v>
      </c>
      <c r="J398" t="s">
        <v>27</v>
      </c>
      <c r="K398" t="s">
        <v>19</v>
      </c>
    </row>
    <row r="399" spans="1:11" x14ac:dyDescent="0.25">
      <c r="A399" s="1" t="s">
        <v>72</v>
      </c>
      <c r="B399" t="s">
        <v>38</v>
      </c>
      <c r="C399" t="s">
        <v>21</v>
      </c>
      <c r="D399" s="6">
        <f t="shared" si="6"/>
        <v>5604.9760000000006</v>
      </c>
      <c r="E399" s="5">
        <v>2</v>
      </c>
      <c r="F399" t="s">
        <v>26</v>
      </c>
      <c r="G399" s="6">
        <v>3503.11</v>
      </c>
      <c r="H399" t="s">
        <v>30</v>
      </c>
      <c r="I399" s="7">
        <v>0.2</v>
      </c>
      <c r="J399" t="s">
        <v>27</v>
      </c>
      <c r="K399" t="s">
        <v>22</v>
      </c>
    </row>
    <row r="400" spans="1:11" x14ac:dyDescent="0.25">
      <c r="A400" s="1" t="s">
        <v>72</v>
      </c>
      <c r="B400" t="s">
        <v>14</v>
      </c>
      <c r="C400" t="s">
        <v>34</v>
      </c>
      <c r="D400" s="6">
        <f t="shared" si="6"/>
        <v>12695.142</v>
      </c>
      <c r="E400" s="5">
        <v>20</v>
      </c>
      <c r="F400" t="s">
        <v>26</v>
      </c>
      <c r="G400" s="6">
        <v>803.49</v>
      </c>
      <c r="H400" t="s">
        <v>30</v>
      </c>
      <c r="I400" s="7">
        <v>0.21</v>
      </c>
      <c r="J400" t="s">
        <v>27</v>
      </c>
      <c r="K400" t="s">
        <v>19</v>
      </c>
    </row>
    <row r="401" spans="1:11" x14ac:dyDescent="0.25">
      <c r="A401" s="1" t="s">
        <v>72</v>
      </c>
      <c r="B401" t="s">
        <v>14</v>
      </c>
      <c r="C401" t="s">
        <v>15</v>
      </c>
      <c r="D401" s="6">
        <f t="shared" si="6"/>
        <v>41716.189900000005</v>
      </c>
      <c r="E401" s="5">
        <v>11</v>
      </c>
      <c r="F401" t="s">
        <v>26</v>
      </c>
      <c r="G401" s="6">
        <v>4925.17</v>
      </c>
      <c r="H401" t="s">
        <v>30</v>
      </c>
      <c r="I401" s="7">
        <v>0.23</v>
      </c>
      <c r="J401" t="s">
        <v>18</v>
      </c>
      <c r="K401" t="s">
        <v>22</v>
      </c>
    </row>
    <row r="402" spans="1:11" x14ac:dyDescent="0.25">
      <c r="A402" s="1" t="s">
        <v>72</v>
      </c>
      <c r="B402" t="s">
        <v>42</v>
      </c>
      <c r="C402" t="s">
        <v>34</v>
      </c>
      <c r="D402" s="6">
        <f t="shared" si="6"/>
        <v>26596.128000000001</v>
      </c>
      <c r="E402" s="5">
        <v>32</v>
      </c>
      <c r="F402" t="s">
        <v>16</v>
      </c>
      <c r="G402" s="6">
        <v>1065.55</v>
      </c>
      <c r="H402" t="s">
        <v>17</v>
      </c>
      <c r="I402" s="7">
        <v>0.22</v>
      </c>
      <c r="J402" t="s">
        <v>27</v>
      </c>
      <c r="K402" t="s">
        <v>22</v>
      </c>
    </row>
    <row r="403" spans="1:11" x14ac:dyDescent="0.25">
      <c r="A403" s="1" t="s">
        <v>72</v>
      </c>
      <c r="B403" t="s">
        <v>14</v>
      </c>
      <c r="C403" t="s">
        <v>15</v>
      </c>
      <c r="D403" s="6">
        <f t="shared" si="6"/>
        <v>115328.3894</v>
      </c>
      <c r="E403" s="5">
        <v>49</v>
      </c>
      <c r="F403" t="s">
        <v>16</v>
      </c>
      <c r="G403" s="6">
        <v>2644.54</v>
      </c>
      <c r="H403" t="s">
        <v>17</v>
      </c>
      <c r="I403" s="7">
        <v>0.11</v>
      </c>
      <c r="J403" t="s">
        <v>18</v>
      </c>
      <c r="K403" t="s">
        <v>19</v>
      </c>
    </row>
    <row r="404" spans="1:11" x14ac:dyDescent="0.25">
      <c r="A404" s="1" t="s">
        <v>72</v>
      </c>
      <c r="B404" t="s">
        <v>14</v>
      </c>
      <c r="C404" t="s">
        <v>25</v>
      </c>
      <c r="D404" s="6">
        <f t="shared" si="6"/>
        <v>94284.518400000001</v>
      </c>
      <c r="E404" s="5">
        <v>41</v>
      </c>
      <c r="F404" t="s">
        <v>16</v>
      </c>
      <c r="G404" s="6">
        <v>3193.92</v>
      </c>
      <c r="H404" t="s">
        <v>30</v>
      </c>
      <c r="I404" s="7">
        <v>0.28000000000000003</v>
      </c>
      <c r="J404" t="s">
        <v>27</v>
      </c>
      <c r="K404" t="s">
        <v>22</v>
      </c>
    </row>
    <row r="405" spans="1:11" x14ac:dyDescent="0.25">
      <c r="A405" s="1" t="s">
        <v>69</v>
      </c>
      <c r="B405" t="s">
        <v>24</v>
      </c>
      <c r="C405" t="s">
        <v>25</v>
      </c>
      <c r="D405" s="6">
        <f t="shared" si="6"/>
        <v>29807.448</v>
      </c>
      <c r="E405" s="5">
        <v>10</v>
      </c>
      <c r="F405" t="s">
        <v>29</v>
      </c>
      <c r="G405" s="6">
        <v>3387.21</v>
      </c>
      <c r="H405" t="s">
        <v>17</v>
      </c>
      <c r="I405" s="7">
        <v>0.12</v>
      </c>
      <c r="J405" t="s">
        <v>18</v>
      </c>
      <c r="K405" t="s">
        <v>22</v>
      </c>
    </row>
    <row r="406" spans="1:11" x14ac:dyDescent="0.25">
      <c r="A406" s="1" t="s">
        <v>69</v>
      </c>
      <c r="B406" t="s">
        <v>24</v>
      </c>
      <c r="C406" t="s">
        <v>15</v>
      </c>
      <c r="D406" s="6">
        <f t="shared" si="6"/>
        <v>31123.083200000001</v>
      </c>
      <c r="E406" s="5">
        <v>34</v>
      </c>
      <c r="F406" t="s">
        <v>26</v>
      </c>
      <c r="G406" s="6">
        <v>1040.21</v>
      </c>
      <c r="H406" t="s">
        <v>30</v>
      </c>
      <c r="I406" s="7">
        <v>0.12</v>
      </c>
      <c r="J406" t="s">
        <v>31</v>
      </c>
      <c r="K406" t="s">
        <v>22</v>
      </c>
    </row>
    <row r="407" spans="1:11" x14ac:dyDescent="0.25">
      <c r="A407" s="1" t="s">
        <v>72</v>
      </c>
      <c r="B407" t="s">
        <v>42</v>
      </c>
      <c r="C407" t="s">
        <v>25</v>
      </c>
      <c r="D407" s="6">
        <f t="shared" si="6"/>
        <v>22424.85</v>
      </c>
      <c r="E407" s="5">
        <v>7</v>
      </c>
      <c r="F407" t="s">
        <v>35</v>
      </c>
      <c r="G407" s="6">
        <v>4576.5</v>
      </c>
      <c r="H407" t="s">
        <v>30</v>
      </c>
      <c r="I407" s="7">
        <v>0.3</v>
      </c>
      <c r="J407" t="s">
        <v>18</v>
      </c>
      <c r="K407" t="s">
        <v>22</v>
      </c>
    </row>
    <row r="408" spans="1:11" x14ac:dyDescent="0.25">
      <c r="A408" s="1" t="s">
        <v>72</v>
      </c>
      <c r="B408" t="s">
        <v>38</v>
      </c>
      <c r="C408" t="s">
        <v>15</v>
      </c>
      <c r="D408" s="6">
        <f t="shared" si="6"/>
        <v>51266.529599999994</v>
      </c>
      <c r="E408" s="5">
        <v>44</v>
      </c>
      <c r="F408" t="s">
        <v>16</v>
      </c>
      <c r="G408" s="6">
        <v>1533.09</v>
      </c>
      <c r="H408" t="s">
        <v>17</v>
      </c>
      <c r="I408" s="7">
        <v>0.24</v>
      </c>
      <c r="J408" t="s">
        <v>31</v>
      </c>
      <c r="K408" t="s">
        <v>22</v>
      </c>
    </row>
    <row r="409" spans="1:11" x14ac:dyDescent="0.25">
      <c r="A409" s="1" t="s">
        <v>72</v>
      </c>
      <c r="B409" t="s">
        <v>33</v>
      </c>
      <c r="C409" t="s">
        <v>15</v>
      </c>
      <c r="D409" s="6">
        <f t="shared" si="6"/>
        <v>80535.546000000002</v>
      </c>
      <c r="E409" s="5">
        <v>26</v>
      </c>
      <c r="F409" t="s">
        <v>35</v>
      </c>
      <c r="G409" s="6">
        <v>3824.1</v>
      </c>
      <c r="H409" t="s">
        <v>30</v>
      </c>
      <c r="I409" s="7">
        <v>0.19</v>
      </c>
      <c r="J409" t="s">
        <v>31</v>
      </c>
      <c r="K409" t="s">
        <v>19</v>
      </c>
    </row>
    <row r="410" spans="1:11" x14ac:dyDescent="0.25">
      <c r="A410" s="1" t="s">
        <v>68</v>
      </c>
      <c r="B410" t="s">
        <v>24</v>
      </c>
      <c r="C410" t="s">
        <v>25</v>
      </c>
      <c r="D410" s="6">
        <f t="shared" si="6"/>
        <v>31220.324999999713</v>
      </c>
      <c r="E410" s="5">
        <v>30</v>
      </c>
      <c r="F410" t="s">
        <v>16</v>
      </c>
      <c r="G410" s="6">
        <v>1095.44999999999</v>
      </c>
      <c r="H410" t="s">
        <v>30</v>
      </c>
      <c r="I410" s="7">
        <v>0.05</v>
      </c>
      <c r="J410" t="s">
        <v>27</v>
      </c>
      <c r="K410" t="s">
        <v>19</v>
      </c>
    </row>
    <row r="411" spans="1:11" x14ac:dyDescent="0.25">
      <c r="A411" s="1" t="s">
        <v>70</v>
      </c>
      <c r="B411" t="s">
        <v>24</v>
      </c>
      <c r="C411" t="s">
        <v>25</v>
      </c>
      <c r="D411" s="6">
        <f t="shared" si="6"/>
        <v>31579.319</v>
      </c>
      <c r="E411" s="5">
        <v>17</v>
      </c>
      <c r="F411" t="s">
        <v>29</v>
      </c>
      <c r="G411" s="6">
        <v>2185.42</v>
      </c>
      <c r="H411" t="s">
        <v>17</v>
      </c>
      <c r="I411" s="7">
        <v>0.15</v>
      </c>
      <c r="J411" t="s">
        <v>31</v>
      </c>
      <c r="K411" t="s">
        <v>22</v>
      </c>
    </row>
    <row r="412" spans="1:11" x14ac:dyDescent="0.25">
      <c r="A412" s="1" t="s">
        <v>68</v>
      </c>
      <c r="B412" t="s">
        <v>38</v>
      </c>
      <c r="C412" t="s">
        <v>25</v>
      </c>
      <c r="D412" s="6">
        <f t="shared" si="6"/>
        <v>102939.71999999962</v>
      </c>
      <c r="E412" s="5">
        <v>39</v>
      </c>
      <c r="F412" t="s">
        <v>35</v>
      </c>
      <c r="G412" s="6">
        <v>2778.3999999999901</v>
      </c>
      <c r="H412" t="s">
        <v>17</v>
      </c>
      <c r="I412" s="7">
        <v>0.05</v>
      </c>
      <c r="J412" t="s">
        <v>18</v>
      </c>
      <c r="K412" t="s">
        <v>19</v>
      </c>
    </row>
    <row r="413" spans="1:11" x14ac:dyDescent="0.25">
      <c r="A413" s="1" t="s">
        <v>68</v>
      </c>
      <c r="B413" t="s">
        <v>14</v>
      </c>
      <c r="C413" t="s">
        <v>25</v>
      </c>
      <c r="D413" s="6">
        <f t="shared" si="6"/>
        <v>100552.38900000001</v>
      </c>
      <c r="E413" s="5">
        <v>21</v>
      </c>
      <c r="F413" t="s">
        <v>16</v>
      </c>
      <c r="G413" s="6">
        <v>5040.22</v>
      </c>
      <c r="H413" t="s">
        <v>30</v>
      </c>
      <c r="I413" s="7">
        <v>0.05</v>
      </c>
      <c r="J413" t="s">
        <v>27</v>
      </c>
      <c r="K413" t="s">
        <v>19</v>
      </c>
    </row>
    <row r="414" spans="1:11" x14ac:dyDescent="0.25">
      <c r="A414" s="1" t="s">
        <v>68</v>
      </c>
      <c r="B414" t="s">
        <v>42</v>
      </c>
      <c r="C414" t="s">
        <v>21</v>
      </c>
      <c r="D414" s="6">
        <f t="shared" si="6"/>
        <v>5299.9856</v>
      </c>
      <c r="E414" s="5">
        <v>2</v>
      </c>
      <c r="F414" t="s">
        <v>35</v>
      </c>
      <c r="G414" s="6">
        <v>2977.52</v>
      </c>
      <c r="H414" t="s">
        <v>17</v>
      </c>
      <c r="I414" s="7">
        <v>0.11</v>
      </c>
      <c r="J414" t="s">
        <v>31</v>
      </c>
      <c r="K414" t="s">
        <v>22</v>
      </c>
    </row>
    <row r="415" spans="1:11" x14ac:dyDescent="0.25">
      <c r="A415" s="1" t="s">
        <v>68</v>
      </c>
      <c r="B415" t="s">
        <v>38</v>
      </c>
      <c r="C415" t="s">
        <v>15</v>
      </c>
      <c r="D415" s="6">
        <f t="shared" si="6"/>
        <v>24834.11</v>
      </c>
      <c r="E415" s="5">
        <v>28</v>
      </c>
      <c r="F415" t="s">
        <v>29</v>
      </c>
      <c r="G415" s="6">
        <v>1043.45</v>
      </c>
      <c r="H415" t="s">
        <v>30</v>
      </c>
      <c r="I415" s="7">
        <v>0.15</v>
      </c>
      <c r="J415" t="s">
        <v>27</v>
      </c>
      <c r="K415" t="s">
        <v>22</v>
      </c>
    </row>
    <row r="416" spans="1:11" x14ac:dyDescent="0.25">
      <c r="A416" s="1" t="s">
        <v>68</v>
      </c>
      <c r="B416" t="s">
        <v>33</v>
      </c>
      <c r="C416" t="s">
        <v>15</v>
      </c>
      <c r="D416" s="6">
        <f t="shared" si="6"/>
        <v>12343.365</v>
      </c>
      <c r="E416" s="5">
        <v>6</v>
      </c>
      <c r="F416" t="s">
        <v>16</v>
      </c>
      <c r="G416" s="6">
        <v>2742.97</v>
      </c>
      <c r="H416" t="s">
        <v>17</v>
      </c>
      <c r="I416" s="7">
        <v>0.25</v>
      </c>
      <c r="J416" t="s">
        <v>31</v>
      </c>
      <c r="K416" t="s">
        <v>22</v>
      </c>
    </row>
    <row r="417" spans="1:11" x14ac:dyDescent="0.25">
      <c r="A417" s="1" t="s">
        <v>68</v>
      </c>
      <c r="B417" t="s">
        <v>42</v>
      </c>
      <c r="C417" t="s">
        <v>25</v>
      </c>
      <c r="D417" s="6">
        <f t="shared" si="6"/>
        <v>165828.67120000001</v>
      </c>
      <c r="E417" s="5">
        <v>38</v>
      </c>
      <c r="F417" t="s">
        <v>16</v>
      </c>
      <c r="G417" s="6">
        <v>4642.46</v>
      </c>
      <c r="H417" t="s">
        <v>30</v>
      </c>
      <c r="I417" s="7">
        <v>0.06</v>
      </c>
      <c r="J417" t="s">
        <v>27</v>
      </c>
      <c r="K417" t="s">
        <v>19</v>
      </c>
    </row>
    <row r="418" spans="1:11" x14ac:dyDescent="0.25">
      <c r="A418" s="1" t="s">
        <v>68</v>
      </c>
      <c r="B418" t="s">
        <v>38</v>
      </c>
      <c r="C418" t="s">
        <v>34</v>
      </c>
      <c r="D418" s="6">
        <f t="shared" si="6"/>
        <v>28846.800000000003</v>
      </c>
      <c r="E418" s="5">
        <v>9</v>
      </c>
      <c r="F418" t="s">
        <v>29</v>
      </c>
      <c r="G418" s="6">
        <v>4273.6000000000004</v>
      </c>
      <c r="H418" t="s">
        <v>17</v>
      </c>
      <c r="I418" s="7">
        <v>0.25</v>
      </c>
      <c r="J418" t="s">
        <v>18</v>
      </c>
      <c r="K418" t="s">
        <v>22</v>
      </c>
    </row>
    <row r="419" spans="1:11" x14ac:dyDescent="0.25">
      <c r="A419" s="1" t="s">
        <v>68</v>
      </c>
      <c r="B419" t="s">
        <v>14</v>
      </c>
      <c r="C419" t="s">
        <v>34</v>
      </c>
      <c r="D419" s="6">
        <f t="shared" si="6"/>
        <v>3560.3048999999783</v>
      </c>
      <c r="E419" s="5">
        <v>3</v>
      </c>
      <c r="F419" t="s">
        <v>35</v>
      </c>
      <c r="G419" s="6">
        <v>1625.70999999999</v>
      </c>
      <c r="H419" t="s">
        <v>30</v>
      </c>
      <c r="I419" s="7">
        <v>0.27</v>
      </c>
      <c r="J419" t="s">
        <v>18</v>
      </c>
      <c r="K419" t="s">
        <v>19</v>
      </c>
    </row>
    <row r="420" spans="1:11" x14ac:dyDescent="0.25">
      <c r="A420" s="1" t="s">
        <v>68</v>
      </c>
      <c r="B420" t="s">
        <v>33</v>
      </c>
      <c r="C420" t="s">
        <v>15</v>
      </c>
      <c r="D420" s="6">
        <f t="shared" si="6"/>
        <v>152108.51579999999</v>
      </c>
      <c r="E420" s="5">
        <v>41</v>
      </c>
      <c r="F420" t="s">
        <v>29</v>
      </c>
      <c r="G420" s="6">
        <v>3946.77</v>
      </c>
      <c r="H420" t="s">
        <v>17</v>
      </c>
      <c r="I420" s="7">
        <v>0.06</v>
      </c>
      <c r="J420" t="s">
        <v>31</v>
      </c>
      <c r="K420" t="s">
        <v>19</v>
      </c>
    </row>
    <row r="421" spans="1:11" x14ac:dyDescent="0.25">
      <c r="A421" s="1" t="s">
        <v>62</v>
      </c>
      <c r="B421" t="s">
        <v>24</v>
      </c>
      <c r="C421" t="s">
        <v>21</v>
      </c>
      <c r="D421" s="6">
        <f t="shared" si="6"/>
        <v>32314.5612</v>
      </c>
      <c r="E421" s="5">
        <v>27</v>
      </c>
      <c r="F421" t="s">
        <v>29</v>
      </c>
      <c r="G421" s="6">
        <v>1286.92</v>
      </c>
      <c r="H421" t="s">
        <v>17</v>
      </c>
      <c r="I421" s="7">
        <v>7.0000000000000007E-2</v>
      </c>
      <c r="J421" t="s">
        <v>31</v>
      </c>
      <c r="K421" t="s">
        <v>22</v>
      </c>
    </row>
    <row r="422" spans="1:11" x14ac:dyDescent="0.25">
      <c r="A422" s="1" t="s">
        <v>68</v>
      </c>
      <c r="B422" t="s">
        <v>14</v>
      </c>
      <c r="C422" t="s">
        <v>15</v>
      </c>
      <c r="D422" s="6">
        <f t="shared" si="6"/>
        <v>49918.12</v>
      </c>
      <c r="E422" s="5">
        <v>20</v>
      </c>
      <c r="F422" t="s">
        <v>26</v>
      </c>
      <c r="G422" s="6">
        <v>3565.58</v>
      </c>
      <c r="H422" t="s">
        <v>17</v>
      </c>
      <c r="I422" s="7">
        <v>0.3</v>
      </c>
      <c r="J422" t="s">
        <v>31</v>
      </c>
      <c r="K422" t="s">
        <v>22</v>
      </c>
    </row>
    <row r="423" spans="1:11" x14ac:dyDescent="0.25">
      <c r="A423" s="1" t="s">
        <v>68</v>
      </c>
      <c r="B423" t="s">
        <v>38</v>
      </c>
      <c r="C423" t="s">
        <v>21</v>
      </c>
      <c r="D423" s="6">
        <f t="shared" si="6"/>
        <v>226873.92</v>
      </c>
      <c r="E423" s="5">
        <v>49</v>
      </c>
      <c r="F423" t="s">
        <v>35</v>
      </c>
      <c r="G423" s="6">
        <v>5088</v>
      </c>
      <c r="H423" t="s">
        <v>17</v>
      </c>
      <c r="I423" s="7">
        <v>0.09</v>
      </c>
      <c r="J423" t="s">
        <v>31</v>
      </c>
      <c r="K423" t="s">
        <v>19</v>
      </c>
    </row>
    <row r="424" spans="1:11" x14ac:dyDescent="0.25">
      <c r="A424" s="1" t="s">
        <v>68</v>
      </c>
      <c r="B424" t="s">
        <v>14</v>
      </c>
      <c r="C424" t="s">
        <v>25</v>
      </c>
      <c r="D424" s="6">
        <f t="shared" si="6"/>
        <v>11985.599999999999</v>
      </c>
      <c r="E424" s="5">
        <v>15</v>
      </c>
      <c r="F424" t="s">
        <v>35</v>
      </c>
      <c r="G424" s="6">
        <v>799.04</v>
      </c>
      <c r="H424" t="s">
        <v>30</v>
      </c>
      <c r="I424" s="7">
        <v>0</v>
      </c>
      <c r="J424" t="s">
        <v>27</v>
      </c>
      <c r="K424" t="s">
        <v>19</v>
      </c>
    </row>
    <row r="425" spans="1:11" x14ac:dyDescent="0.25">
      <c r="A425" s="1" t="s">
        <v>68</v>
      </c>
      <c r="B425" t="s">
        <v>14</v>
      </c>
      <c r="C425" t="s">
        <v>34</v>
      </c>
      <c r="D425" s="6">
        <f t="shared" si="6"/>
        <v>35924.943599999999</v>
      </c>
      <c r="E425" s="5">
        <v>21</v>
      </c>
      <c r="F425" t="s">
        <v>35</v>
      </c>
      <c r="G425" s="6">
        <v>2193.2199999999998</v>
      </c>
      <c r="H425" t="s">
        <v>30</v>
      </c>
      <c r="I425" s="7">
        <v>0.22</v>
      </c>
      <c r="J425" t="s">
        <v>27</v>
      </c>
      <c r="K425" t="s">
        <v>22</v>
      </c>
    </row>
    <row r="426" spans="1:11" x14ac:dyDescent="0.25">
      <c r="A426" s="1" t="s">
        <v>68</v>
      </c>
      <c r="B426" t="s">
        <v>38</v>
      </c>
      <c r="C426" t="s">
        <v>15</v>
      </c>
      <c r="D426" s="6">
        <f t="shared" si="6"/>
        <v>168450.90640000001</v>
      </c>
      <c r="E426" s="5">
        <v>49</v>
      </c>
      <c r="F426" t="s">
        <v>16</v>
      </c>
      <c r="G426" s="6">
        <v>4645.6400000000003</v>
      </c>
      <c r="H426" t="s">
        <v>17</v>
      </c>
      <c r="I426" s="7">
        <v>0.26</v>
      </c>
      <c r="J426" t="s">
        <v>31</v>
      </c>
      <c r="K426" t="s">
        <v>19</v>
      </c>
    </row>
    <row r="427" spans="1:11" x14ac:dyDescent="0.25">
      <c r="A427" s="1" t="s">
        <v>68</v>
      </c>
      <c r="B427" t="s">
        <v>38</v>
      </c>
      <c r="C427" t="s">
        <v>21</v>
      </c>
      <c r="D427" s="6">
        <f t="shared" si="6"/>
        <v>131718.52799999999</v>
      </c>
      <c r="E427" s="5">
        <v>48</v>
      </c>
      <c r="F427" t="s">
        <v>29</v>
      </c>
      <c r="G427" s="6">
        <v>3049.04</v>
      </c>
      <c r="H427" t="s">
        <v>30</v>
      </c>
      <c r="I427" s="7">
        <v>0.1</v>
      </c>
      <c r="J427" t="s">
        <v>31</v>
      </c>
      <c r="K427" t="s">
        <v>22</v>
      </c>
    </row>
    <row r="428" spans="1:11" x14ac:dyDescent="0.25">
      <c r="A428" s="1" t="s">
        <v>62</v>
      </c>
      <c r="B428" t="s">
        <v>24</v>
      </c>
      <c r="C428" t="s">
        <v>25</v>
      </c>
      <c r="D428" s="6">
        <f t="shared" si="6"/>
        <v>32490.33</v>
      </c>
      <c r="E428" s="5">
        <v>20</v>
      </c>
      <c r="F428" t="s">
        <v>26</v>
      </c>
      <c r="G428" s="6">
        <v>2056.35</v>
      </c>
      <c r="H428" t="s">
        <v>17</v>
      </c>
      <c r="I428" s="7">
        <v>0.21</v>
      </c>
      <c r="J428" t="s">
        <v>27</v>
      </c>
      <c r="K428" t="s">
        <v>22</v>
      </c>
    </row>
    <row r="429" spans="1:11" x14ac:dyDescent="0.25">
      <c r="A429" s="1" t="s">
        <v>68</v>
      </c>
      <c r="B429" t="s">
        <v>14</v>
      </c>
      <c r="C429" t="s">
        <v>15</v>
      </c>
      <c r="D429" s="6">
        <f t="shared" si="6"/>
        <v>25668.981</v>
      </c>
      <c r="E429" s="5">
        <v>13</v>
      </c>
      <c r="F429" t="s">
        <v>35</v>
      </c>
      <c r="G429" s="6">
        <v>2437.6999999999998</v>
      </c>
      <c r="H429" t="s">
        <v>30</v>
      </c>
      <c r="I429" s="7">
        <v>0.19</v>
      </c>
      <c r="J429" t="s">
        <v>31</v>
      </c>
      <c r="K429" t="s">
        <v>22</v>
      </c>
    </row>
    <row r="430" spans="1:11" x14ac:dyDescent="0.25">
      <c r="A430" s="1" t="s">
        <v>68</v>
      </c>
      <c r="B430" t="s">
        <v>14</v>
      </c>
      <c r="C430" t="s">
        <v>34</v>
      </c>
      <c r="D430" s="6">
        <f t="shared" si="6"/>
        <v>141672.87680000003</v>
      </c>
      <c r="E430" s="5">
        <v>38</v>
      </c>
      <c r="F430" t="s">
        <v>29</v>
      </c>
      <c r="G430" s="6">
        <v>4096.96</v>
      </c>
      <c r="H430" t="s">
        <v>17</v>
      </c>
      <c r="I430" s="7">
        <v>0.09</v>
      </c>
      <c r="J430" t="s">
        <v>27</v>
      </c>
      <c r="K430" t="s">
        <v>19</v>
      </c>
    </row>
    <row r="431" spans="1:11" x14ac:dyDescent="0.25">
      <c r="A431" s="1" t="s">
        <v>68</v>
      </c>
      <c r="B431" t="s">
        <v>38</v>
      </c>
      <c r="C431" t="s">
        <v>25</v>
      </c>
      <c r="D431" s="6">
        <f t="shared" si="6"/>
        <v>199824.1919999996</v>
      </c>
      <c r="E431" s="5">
        <v>48</v>
      </c>
      <c r="F431" t="s">
        <v>26</v>
      </c>
      <c r="G431" s="6">
        <v>4625.5599999999904</v>
      </c>
      <c r="H431" t="s">
        <v>17</v>
      </c>
      <c r="I431" s="7">
        <v>0.1</v>
      </c>
      <c r="J431" t="s">
        <v>27</v>
      </c>
      <c r="K431" t="s">
        <v>19</v>
      </c>
    </row>
    <row r="432" spans="1:11" x14ac:dyDescent="0.25">
      <c r="A432" s="1" t="s">
        <v>68</v>
      </c>
      <c r="B432" t="s">
        <v>33</v>
      </c>
      <c r="C432" t="s">
        <v>25</v>
      </c>
      <c r="D432" s="6">
        <f t="shared" si="6"/>
        <v>3472.56</v>
      </c>
      <c r="E432" s="5">
        <v>6</v>
      </c>
      <c r="F432" t="s">
        <v>16</v>
      </c>
      <c r="G432" s="6">
        <v>742</v>
      </c>
      <c r="H432" t="s">
        <v>30</v>
      </c>
      <c r="I432" s="7">
        <v>0.22</v>
      </c>
      <c r="J432" t="s">
        <v>31</v>
      </c>
      <c r="K432" t="s">
        <v>22</v>
      </c>
    </row>
    <row r="433" spans="1:11" x14ac:dyDescent="0.25">
      <c r="A433" s="1" t="s">
        <v>64</v>
      </c>
      <c r="B433" t="s">
        <v>24</v>
      </c>
      <c r="C433" t="s">
        <v>25</v>
      </c>
      <c r="D433" s="6">
        <f t="shared" si="6"/>
        <v>32504.806700000001</v>
      </c>
      <c r="E433" s="5">
        <v>19</v>
      </c>
      <c r="F433" t="s">
        <v>35</v>
      </c>
      <c r="G433" s="6">
        <v>1763.69</v>
      </c>
      <c r="H433" t="s">
        <v>30</v>
      </c>
      <c r="I433" s="7">
        <v>0.03</v>
      </c>
      <c r="J433" t="s">
        <v>18</v>
      </c>
      <c r="K433" t="s">
        <v>22</v>
      </c>
    </row>
    <row r="434" spans="1:11" x14ac:dyDescent="0.25">
      <c r="A434" s="1" t="s">
        <v>68</v>
      </c>
      <c r="B434" t="s">
        <v>14</v>
      </c>
      <c r="C434" t="s">
        <v>25</v>
      </c>
      <c r="D434" s="6">
        <f t="shared" si="6"/>
        <v>26275.995199999928</v>
      </c>
      <c r="E434" s="5">
        <v>8</v>
      </c>
      <c r="F434" t="s">
        <v>29</v>
      </c>
      <c r="G434" s="6">
        <v>3609.3399999999901</v>
      </c>
      <c r="H434" t="s">
        <v>17</v>
      </c>
      <c r="I434" s="7">
        <v>0.09</v>
      </c>
      <c r="J434" t="s">
        <v>31</v>
      </c>
      <c r="K434" t="s">
        <v>19</v>
      </c>
    </row>
    <row r="435" spans="1:11" x14ac:dyDescent="0.25">
      <c r="A435" s="1" t="s">
        <v>68</v>
      </c>
      <c r="B435" t="s">
        <v>33</v>
      </c>
      <c r="C435" t="s">
        <v>34</v>
      </c>
      <c r="D435" s="6">
        <f t="shared" si="6"/>
        <v>24190.32</v>
      </c>
      <c r="E435" s="5">
        <v>15</v>
      </c>
      <c r="F435" t="s">
        <v>29</v>
      </c>
      <c r="G435" s="6">
        <v>1832.6</v>
      </c>
      <c r="H435" t="s">
        <v>17</v>
      </c>
      <c r="I435" s="7">
        <v>0.12</v>
      </c>
      <c r="J435" t="s">
        <v>31</v>
      </c>
      <c r="K435" t="s">
        <v>19</v>
      </c>
    </row>
    <row r="436" spans="1:11" x14ac:dyDescent="0.25">
      <c r="A436" s="1" t="s">
        <v>68</v>
      </c>
      <c r="B436" t="s">
        <v>38</v>
      </c>
      <c r="C436" t="s">
        <v>15</v>
      </c>
      <c r="D436" s="6">
        <f t="shared" si="6"/>
        <v>111441.60299999974</v>
      </c>
      <c r="E436" s="5">
        <v>35</v>
      </c>
      <c r="F436" t="s">
        <v>16</v>
      </c>
      <c r="G436" s="6">
        <v>4082.1099999999901</v>
      </c>
      <c r="H436" t="s">
        <v>30</v>
      </c>
      <c r="I436" s="7">
        <v>0.22</v>
      </c>
      <c r="J436" t="s">
        <v>18</v>
      </c>
      <c r="K436" t="s">
        <v>19</v>
      </c>
    </row>
    <row r="437" spans="1:11" x14ac:dyDescent="0.25">
      <c r="A437" s="1" t="s">
        <v>68</v>
      </c>
      <c r="B437" t="s">
        <v>42</v>
      </c>
      <c r="C437" t="s">
        <v>25</v>
      </c>
      <c r="D437" s="6">
        <f t="shared" si="6"/>
        <v>15253.4432</v>
      </c>
      <c r="E437" s="5">
        <v>4</v>
      </c>
      <c r="F437" t="s">
        <v>26</v>
      </c>
      <c r="G437" s="6">
        <v>5017.58</v>
      </c>
      <c r="H437" t="s">
        <v>30</v>
      </c>
      <c r="I437" s="7">
        <v>0.24</v>
      </c>
      <c r="J437" t="s">
        <v>18</v>
      </c>
      <c r="K437" t="s">
        <v>22</v>
      </c>
    </row>
    <row r="438" spans="1:11" x14ac:dyDescent="0.25">
      <c r="A438" s="1" t="s">
        <v>68</v>
      </c>
      <c r="B438" t="s">
        <v>42</v>
      </c>
      <c r="C438" t="s">
        <v>15</v>
      </c>
      <c r="D438" s="6">
        <f t="shared" si="6"/>
        <v>104694.1425</v>
      </c>
      <c r="E438" s="5">
        <v>43</v>
      </c>
      <c r="F438" t="s">
        <v>29</v>
      </c>
      <c r="G438" s="6">
        <v>3246.33</v>
      </c>
      <c r="H438" t="s">
        <v>30</v>
      </c>
      <c r="I438" s="7">
        <v>0.25</v>
      </c>
      <c r="J438" t="s">
        <v>18</v>
      </c>
      <c r="K438" t="s">
        <v>19</v>
      </c>
    </row>
    <row r="439" spans="1:11" x14ac:dyDescent="0.25">
      <c r="A439" s="1" t="s">
        <v>71</v>
      </c>
      <c r="B439" t="s">
        <v>24</v>
      </c>
      <c r="C439" t="s">
        <v>25</v>
      </c>
      <c r="D439" s="6">
        <f t="shared" si="6"/>
        <v>33036.299999999996</v>
      </c>
      <c r="E439" s="5">
        <v>11</v>
      </c>
      <c r="F439" t="s">
        <v>29</v>
      </c>
      <c r="G439" s="6">
        <v>4230</v>
      </c>
      <c r="H439" t="s">
        <v>30</v>
      </c>
      <c r="I439" s="7">
        <v>0.28999999999999998</v>
      </c>
      <c r="J439" t="s">
        <v>27</v>
      </c>
      <c r="K439" t="s">
        <v>19</v>
      </c>
    </row>
    <row r="440" spans="1:11" x14ac:dyDescent="0.25">
      <c r="A440" s="1" t="s">
        <v>68</v>
      </c>
      <c r="B440" t="s">
        <v>42</v>
      </c>
      <c r="C440" t="s">
        <v>15</v>
      </c>
      <c r="D440" s="6">
        <f t="shared" si="6"/>
        <v>18521.7788</v>
      </c>
      <c r="E440" s="5">
        <v>17</v>
      </c>
      <c r="F440" t="s">
        <v>16</v>
      </c>
      <c r="G440" s="6">
        <v>1159.06</v>
      </c>
      <c r="H440" t="s">
        <v>17</v>
      </c>
      <c r="I440" s="7">
        <v>0.06</v>
      </c>
      <c r="J440" t="s">
        <v>18</v>
      </c>
      <c r="K440" t="s">
        <v>22</v>
      </c>
    </row>
    <row r="441" spans="1:11" x14ac:dyDescent="0.25">
      <c r="A441" s="1" t="s">
        <v>68</v>
      </c>
      <c r="B441" t="s">
        <v>38</v>
      </c>
      <c r="C441" t="s">
        <v>21</v>
      </c>
      <c r="D441" s="6">
        <f t="shared" si="6"/>
        <v>41617.170000000006</v>
      </c>
      <c r="E441" s="5">
        <v>35</v>
      </c>
      <c r="F441" t="s">
        <v>16</v>
      </c>
      <c r="G441" s="6">
        <v>1321.18</v>
      </c>
      <c r="H441" t="s">
        <v>17</v>
      </c>
      <c r="I441" s="7">
        <v>0.1</v>
      </c>
      <c r="J441" t="s">
        <v>18</v>
      </c>
      <c r="K441" t="s">
        <v>19</v>
      </c>
    </row>
    <row r="442" spans="1:11" x14ac:dyDescent="0.25">
      <c r="A442" s="1" t="s">
        <v>68</v>
      </c>
      <c r="B442" t="s">
        <v>38</v>
      </c>
      <c r="C442" t="s">
        <v>15</v>
      </c>
      <c r="D442" s="6">
        <f t="shared" si="6"/>
        <v>35853.739199999996</v>
      </c>
      <c r="E442" s="5">
        <v>24</v>
      </c>
      <c r="F442" t="s">
        <v>29</v>
      </c>
      <c r="G442" s="6">
        <v>1891.02</v>
      </c>
      <c r="H442" t="s">
        <v>30</v>
      </c>
      <c r="I442" s="7">
        <v>0.21</v>
      </c>
      <c r="J442" t="s">
        <v>31</v>
      </c>
      <c r="K442" t="s">
        <v>19</v>
      </c>
    </row>
    <row r="443" spans="1:11" x14ac:dyDescent="0.25">
      <c r="A443" s="1" t="s">
        <v>68</v>
      </c>
      <c r="B443" t="s">
        <v>42</v>
      </c>
      <c r="C443" t="s">
        <v>15</v>
      </c>
      <c r="D443" s="6">
        <f t="shared" si="6"/>
        <v>6120.3963999999814</v>
      </c>
      <c r="E443" s="5">
        <v>2</v>
      </c>
      <c r="F443" t="s">
        <v>16</v>
      </c>
      <c r="G443" s="6">
        <v>3255.5299999999902</v>
      </c>
      <c r="H443" t="s">
        <v>17</v>
      </c>
      <c r="I443" s="7">
        <v>0.06</v>
      </c>
      <c r="J443" t="s">
        <v>27</v>
      </c>
      <c r="K443" t="s">
        <v>19</v>
      </c>
    </row>
    <row r="444" spans="1:11" x14ac:dyDescent="0.25">
      <c r="A444" s="1" t="s">
        <v>68</v>
      </c>
      <c r="B444" t="s">
        <v>33</v>
      </c>
      <c r="C444" t="s">
        <v>34</v>
      </c>
      <c r="D444" s="6">
        <f t="shared" si="6"/>
        <v>85045.611000000004</v>
      </c>
      <c r="E444" s="5">
        <v>42</v>
      </c>
      <c r="F444" t="s">
        <v>29</v>
      </c>
      <c r="G444" s="6">
        <v>2382.23</v>
      </c>
      <c r="H444" t="s">
        <v>17</v>
      </c>
      <c r="I444" s="7">
        <v>0.15</v>
      </c>
      <c r="J444" t="s">
        <v>31</v>
      </c>
      <c r="K444" t="s">
        <v>22</v>
      </c>
    </row>
    <row r="445" spans="1:11" x14ac:dyDescent="0.25">
      <c r="A445" s="1" t="s">
        <v>68</v>
      </c>
      <c r="B445" t="s">
        <v>38</v>
      </c>
      <c r="C445" t="s">
        <v>15</v>
      </c>
      <c r="D445" s="6">
        <f t="shared" si="6"/>
        <v>76075.893599999996</v>
      </c>
      <c r="E445" s="5">
        <v>41</v>
      </c>
      <c r="F445" t="s">
        <v>16</v>
      </c>
      <c r="G445" s="6">
        <v>2441.46</v>
      </c>
      <c r="H445" t="s">
        <v>30</v>
      </c>
      <c r="I445" s="7">
        <v>0.24</v>
      </c>
      <c r="J445" t="s">
        <v>31</v>
      </c>
      <c r="K445" t="s">
        <v>19</v>
      </c>
    </row>
    <row r="446" spans="1:11" x14ac:dyDescent="0.25">
      <c r="A446" s="1" t="s">
        <v>68</v>
      </c>
      <c r="B446" t="s">
        <v>42</v>
      </c>
      <c r="C446" t="s">
        <v>15</v>
      </c>
      <c r="D446" s="6">
        <f t="shared" si="6"/>
        <v>13218.084000000001</v>
      </c>
      <c r="E446" s="5">
        <v>9</v>
      </c>
      <c r="F446" t="s">
        <v>29</v>
      </c>
      <c r="G446" s="6">
        <v>1668.95</v>
      </c>
      <c r="H446" t="s">
        <v>17</v>
      </c>
      <c r="I446" s="7">
        <v>0.12</v>
      </c>
      <c r="J446" t="s">
        <v>31</v>
      </c>
      <c r="K446" t="s">
        <v>22</v>
      </c>
    </row>
    <row r="447" spans="1:11" x14ac:dyDescent="0.25">
      <c r="A447" s="1" t="s">
        <v>68</v>
      </c>
      <c r="B447" t="s">
        <v>14</v>
      </c>
      <c r="C447" t="s">
        <v>25</v>
      </c>
      <c r="D447" s="6">
        <f t="shared" si="6"/>
        <v>23796.929999999997</v>
      </c>
      <c r="E447" s="5">
        <v>12</v>
      </c>
      <c r="F447" t="s">
        <v>35</v>
      </c>
      <c r="G447" s="6">
        <v>2087.4499999999998</v>
      </c>
      <c r="H447" t="s">
        <v>30</v>
      </c>
      <c r="I447" s="7">
        <v>0.05</v>
      </c>
      <c r="J447" t="s">
        <v>27</v>
      </c>
      <c r="K447" t="s">
        <v>22</v>
      </c>
    </row>
    <row r="448" spans="1:11" x14ac:dyDescent="0.25">
      <c r="A448" s="1" t="s">
        <v>68</v>
      </c>
      <c r="B448" t="s">
        <v>42</v>
      </c>
      <c r="C448" t="s">
        <v>34</v>
      </c>
      <c r="D448" s="6">
        <f t="shared" si="6"/>
        <v>70436.907200000001</v>
      </c>
      <c r="E448" s="5">
        <v>47</v>
      </c>
      <c r="F448" t="s">
        <v>16</v>
      </c>
      <c r="G448" s="6">
        <v>1703.02</v>
      </c>
      <c r="H448" t="s">
        <v>17</v>
      </c>
      <c r="I448" s="7">
        <v>0.12</v>
      </c>
      <c r="J448" t="s">
        <v>27</v>
      </c>
      <c r="K448" t="s">
        <v>22</v>
      </c>
    </row>
    <row r="449" spans="1:11" x14ac:dyDescent="0.25">
      <c r="A449" s="1" t="s">
        <v>68</v>
      </c>
      <c r="B449" t="s">
        <v>14</v>
      </c>
      <c r="C449" t="s">
        <v>25</v>
      </c>
      <c r="D449" s="6">
        <f t="shared" si="6"/>
        <v>82146.674999999988</v>
      </c>
      <c r="E449" s="5">
        <v>25</v>
      </c>
      <c r="F449" t="s">
        <v>35</v>
      </c>
      <c r="G449" s="6">
        <v>4212.6499999999996</v>
      </c>
      <c r="H449" t="s">
        <v>30</v>
      </c>
      <c r="I449" s="7">
        <v>0.22</v>
      </c>
      <c r="J449" t="s">
        <v>18</v>
      </c>
      <c r="K449" t="s">
        <v>19</v>
      </c>
    </row>
    <row r="450" spans="1:11" x14ac:dyDescent="0.25">
      <c r="A450" s="1" t="s">
        <v>68</v>
      </c>
      <c r="B450" t="s">
        <v>14</v>
      </c>
      <c r="C450" t="s">
        <v>15</v>
      </c>
      <c r="D450" s="6">
        <f t="shared" ref="D450:D513" si="7">(Unit_Price*Qty_Sold)*(1-Discount)</f>
        <v>103997.26</v>
      </c>
      <c r="E450" s="5">
        <v>46</v>
      </c>
      <c r="F450" t="s">
        <v>29</v>
      </c>
      <c r="G450" s="6">
        <v>2260.81</v>
      </c>
      <c r="H450" t="s">
        <v>30</v>
      </c>
      <c r="I450" s="7">
        <v>0</v>
      </c>
      <c r="J450" t="s">
        <v>18</v>
      </c>
      <c r="K450" t="s">
        <v>22</v>
      </c>
    </row>
    <row r="451" spans="1:11" x14ac:dyDescent="0.25">
      <c r="A451" s="1" t="s">
        <v>68</v>
      </c>
      <c r="B451" t="s">
        <v>33</v>
      </c>
      <c r="C451" t="s">
        <v>34</v>
      </c>
      <c r="D451" s="6">
        <f t="shared" si="7"/>
        <v>17529.51999999992</v>
      </c>
      <c r="E451" s="5">
        <v>10</v>
      </c>
      <c r="F451" t="s">
        <v>16</v>
      </c>
      <c r="G451" s="6">
        <v>2191.1899999999901</v>
      </c>
      <c r="H451" t="s">
        <v>17</v>
      </c>
      <c r="I451" s="7">
        <v>0.2</v>
      </c>
      <c r="J451" t="s">
        <v>31</v>
      </c>
      <c r="K451" t="s">
        <v>19</v>
      </c>
    </row>
    <row r="452" spans="1:11" x14ac:dyDescent="0.25">
      <c r="A452" s="1" t="s">
        <v>68</v>
      </c>
      <c r="B452" t="s">
        <v>42</v>
      </c>
      <c r="C452" t="s">
        <v>25</v>
      </c>
      <c r="D452" s="6">
        <f t="shared" si="7"/>
        <v>3483.1776</v>
      </c>
      <c r="E452" s="5">
        <v>2</v>
      </c>
      <c r="F452" t="s">
        <v>35</v>
      </c>
      <c r="G452" s="6">
        <v>2073.3200000000002</v>
      </c>
      <c r="H452" t="s">
        <v>30</v>
      </c>
      <c r="I452" s="7">
        <v>0.16</v>
      </c>
      <c r="J452" t="s">
        <v>18</v>
      </c>
      <c r="K452" t="s">
        <v>22</v>
      </c>
    </row>
    <row r="453" spans="1:11" x14ac:dyDescent="0.25">
      <c r="A453" s="1" t="s">
        <v>63</v>
      </c>
      <c r="B453" t="s">
        <v>24</v>
      </c>
      <c r="C453" t="s">
        <v>25</v>
      </c>
      <c r="D453" s="6">
        <f t="shared" si="7"/>
        <v>33074.438399999999</v>
      </c>
      <c r="E453" s="5">
        <v>34</v>
      </c>
      <c r="F453" t="s">
        <v>26</v>
      </c>
      <c r="G453" s="6">
        <v>1200.96</v>
      </c>
      <c r="H453" t="s">
        <v>17</v>
      </c>
      <c r="I453" s="7">
        <v>0.19</v>
      </c>
      <c r="J453" t="s">
        <v>18</v>
      </c>
      <c r="K453" t="s">
        <v>19</v>
      </c>
    </row>
    <row r="454" spans="1:11" x14ac:dyDescent="0.25">
      <c r="A454" s="1" t="s">
        <v>68</v>
      </c>
      <c r="B454" t="s">
        <v>14</v>
      </c>
      <c r="C454" t="s">
        <v>21</v>
      </c>
      <c r="D454" s="6">
        <f t="shared" si="7"/>
        <v>50275.718399999998</v>
      </c>
      <c r="E454" s="5">
        <v>46</v>
      </c>
      <c r="F454" t="s">
        <v>35</v>
      </c>
      <c r="G454" s="6">
        <v>1138.49</v>
      </c>
      <c r="H454" t="s">
        <v>30</v>
      </c>
      <c r="I454" s="7">
        <v>0.04</v>
      </c>
      <c r="J454" t="s">
        <v>27</v>
      </c>
      <c r="K454" t="s">
        <v>19</v>
      </c>
    </row>
    <row r="455" spans="1:11" x14ac:dyDescent="0.25">
      <c r="A455" s="1" t="s">
        <v>68</v>
      </c>
      <c r="B455" t="s">
        <v>42</v>
      </c>
      <c r="C455" t="s">
        <v>21</v>
      </c>
      <c r="D455" s="6">
        <f t="shared" si="7"/>
        <v>6125.8207999999995</v>
      </c>
      <c r="E455" s="5">
        <v>2</v>
      </c>
      <c r="F455" t="s">
        <v>35</v>
      </c>
      <c r="G455" s="6">
        <v>3480.58</v>
      </c>
      <c r="H455" t="s">
        <v>17</v>
      </c>
      <c r="I455" s="7">
        <v>0.12</v>
      </c>
      <c r="J455" t="s">
        <v>18</v>
      </c>
      <c r="K455" t="s">
        <v>22</v>
      </c>
    </row>
    <row r="456" spans="1:11" x14ac:dyDescent="0.25">
      <c r="A456" s="1" t="s">
        <v>68</v>
      </c>
      <c r="B456" t="s">
        <v>14</v>
      </c>
      <c r="C456" t="s">
        <v>34</v>
      </c>
      <c r="D456" s="6">
        <f t="shared" si="7"/>
        <v>49914.246399999996</v>
      </c>
      <c r="E456" s="5">
        <v>19</v>
      </c>
      <c r="F456" t="s">
        <v>16</v>
      </c>
      <c r="G456" s="6">
        <v>3598.72</v>
      </c>
      <c r="H456" t="s">
        <v>30</v>
      </c>
      <c r="I456" s="7">
        <v>0.27</v>
      </c>
      <c r="J456" t="s">
        <v>27</v>
      </c>
      <c r="K456" t="s">
        <v>19</v>
      </c>
    </row>
    <row r="457" spans="1:11" x14ac:dyDescent="0.25">
      <c r="A457" s="1" t="s">
        <v>68</v>
      </c>
      <c r="B457" t="s">
        <v>14</v>
      </c>
      <c r="C457" t="s">
        <v>25</v>
      </c>
      <c r="D457" s="6">
        <f t="shared" si="7"/>
        <v>93966.518399999986</v>
      </c>
      <c r="E457" s="5">
        <v>23</v>
      </c>
      <c r="F457" t="s">
        <v>16</v>
      </c>
      <c r="G457" s="6">
        <v>4255.7299999999996</v>
      </c>
      <c r="H457" t="s">
        <v>17</v>
      </c>
      <c r="I457" s="7">
        <v>0.04</v>
      </c>
      <c r="J457" t="s">
        <v>18</v>
      </c>
      <c r="K457" t="s">
        <v>19</v>
      </c>
    </row>
    <row r="458" spans="1:11" x14ac:dyDescent="0.25">
      <c r="A458" s="1" t="s">
        <v>68</v>
      </c>
      <c r="B458" t="s">
        <v>42</v>
      </c>
      <c r="C458" t="s">
        <v>25</v>
      </c>
      <c r="D458" s="6">
        <f t="shared" si="7"/>
        <v>33241.445599999999</v>
      </c>
      <c r="E458" s="5">
        <v>47</v>
      </c>
      <c r="F458" t="s">
        <v>29</v>
      </c>
      <c r="G458" s="6">
        <v>803.71</v>
      </c>
      <c r="H458" t="s">
        <v>30</v>
      </c>
      <c r="I458" s="7">
        <v>0.12</v>
      </c>
      <c r="J458" t="s">
        <v>27</v>
      </c>
      <c r="K458" t="s">
        <v>22</v>
      </c>
    </row>
    <row r="459" spans="1:11" x14ac:dyDescent="0.25">
      <c r="A459" s="1" t="s">
        <v>68</v>
      </c>
      <c r="B459" t="s">
        <v>38</v>
      </c>
      <c r="C459" t="s">
        <v>34</v>
      </c>
      <c r="D459" s="6">
        <f t="shared" si="7"/>
        <v>8466.0360000000001</v>
      </c>
      <c r="E459" s="5">
        <v>15</v>
      </c>
      <c r="F459" t="s">
        <v>29</v>
      </c>
      <c r="G459" s="6">
        <v>634.16</v>
      </c>
      <c r="H459" t="s">
        <v>17</v>
      </c>
      <c r="I459" s="7">
        <v>0.11</v>
      </c>
      <c r="J459" t="s">
        <v>31</v>
      </c>
      <c r="K459" t="s">
        <v>22</v>
      </c>
    </row>
    <row r="460" spans="1:11" x14ac:dyDescent="0.25">
      <c r="A460" s="1" t="s">
        <v>68</v>
      </c>
      <c r="B460" t="s">
        <v>38</v>
      </c>
      <c r="C460" t="s">
        <v>21</v>
      </c>
      <c r="D460" s="6">
        <f t="shared" si="7"/>
        <v>8508.2544000000016</v>
      </c>
      <c r="E460" s="5">
        <v>18</v>
      </c>
      <c r="F460" t="s">
        <v>26</v>
      </c>
      <c r="G460" s="6">
        <v>576.44000000000005</v>
      </c>
      <c r="H460" t="s">
        <v>30</v>
      </c>
      <c r="I460" s="7">
        <v>0.18</v>
      </c>
      <c r="J460" t="s">
        <v>31</v>
      </c>
      <c r="K460" t="s">
        <v>22</v>
      </c>
    </row>
    <row r="461" spans="1:11" x14ac:dyDescent="0.25">
      <c r="A461" s="1" t="s">
        <v>68</v>
      </c>
      <c r="B461" t="s">
        <v>42</v>
      </c>
      <c r="C461" t="s">
        <v>15</v>
      </c>
      <c r="D461" s="6">
        <f t="shared" si="7"/>
        <v>53478.776400000002</v>
      </c>
      <c r="E461" s="5">
        <v>21</v>
      </c>
      <c r="F461" t="s">
        <v>29</v>
      </c>
      <c r="G461" s="6">
        <v>2598.58</v>
      </c>
      <c r="H461" t="s">
        <v>17</v>
      </c>
      <c r="I461" s="7">
        <v>0.02</v>
      </c>
      <c r="J461" t="s">
        <v>31</v>
      </c>
      <c r="K461" t="s">
        <v>22</v>
      </c>
    </row>
    <row r="462" spans="1:11" x14ac:dyDescent="0.25">
      <c r="A462" s="1" t="s">
        <v>68</v>
      </c>
      <c r="B462" t="s">
        <v>33</v>
      </c>
      <c r="C462" t="s">
        <v>34</v>
      </c>
      <c r="D462" s="6">
        <f t="shared" si="7"/>
        <v>51132.485000000001</v>
      </c>
      <c r="E462" s="5">
        <v>31</v>
      </c>
      <c r="F462" t="s">
        <v>26</v>
      </c>
      <c r="G462" s="6">
        <v>2259.5</v>
      </c>
      <c r="H462" t="s">
        <v>30</v>
      </c>
      <c r="I462" s="7">
        <v>0.27</v>
      </c>
      <c r="J462" t="s">
        <v>18</v>
      </c>
      <c r="K462" t="s">
        <v>22</v>
      </c>
    </row>
    <row r="463" spans="1:11" x14ac:dyDescent="0.25">
      <c r="A463" s="1" t="s">
        <v>68</v>
      </c>
      <c r="B463" t="s">
        <v>42</v>
      </c>
      <c r="C463" t="s">
        <v>21</v>
      </c>
      <c r="D463" s="6">
        <f t="shared" si="7"/>
        <v>6742.0496000000003</v>
      </c>
      <c r="E463" s="5">
        <v>2</v>
      </c>
      <c r="F463" t="s">
        <v>16</v>
      </c>
      <c r="G463" s="6">
        <v>3830.71</v>
      </c>
      <c r="H463" t="s">
        <v>17</v>
      </c>
      <c r="I463" s="7">
        <v>0.12</v>
      </c>
      <c r="J463" t="s">
        <v>31</v>
      </c>
      <c r="K463" t="s">
        <v>19</v>
      </c>
    </row>
    <row r="464" spans="1:11" x14ac:dyDescent="0.25">
      <c r="A464" s="1" t="s">
        <v>68</v>
      </c>
      <c r="B464" t="s">
        <v>14</v>
      </c>
      <c r="C464" t="s">
        <v>21</v>
      </c>
      <c r="D464" s="6">
        <f t="shared" si="7"/>
        <v>26573.724800000004</v>
      </c>
      <c r="E464" s="5">
        <v>47</v>
      </c>
      <c r="F464" t="s">
        <v>16</v>
      </c>
      <c r="G464" s="6">
        <v>657.44</v>
      </c>
      <c r="H464" t="s">
        <v>17</v>
      </c>
      <c r="I464" s="7">
        <v>0.14000000000000001</v>
      </c>
      <c r="J464" t="s">
        <v>31</v>
      </c>
      <c r="K464" t="s">
        <v>22</v>
      </c>
    </row>
    <row r="465" spans="1:11" x14ac:dyDescent="0.25">
      <c r="A465" s="1" t="s">
        <v>68</v>
      </c>
      <c r="B465" t="s">
        <v>33</v>
      </c>
      <c r="C465" t="s">
        <v>15</v>
      </c>
      <c r="D465" s="6">
        <f t="shared" si="7"/>
        <v>10529.0622</v>
      </c>
      <c r="E465" s="5">
        <v>3</v>
      </c>
      <c r="F465" t="s">
        <v>35</v>
      </c>
      <c r="G465" s="6">
        <v>3733.71</v>
      </c>
      <c r="H465" t="s">
        <v>17</v>
      </c>
      <c r="I465" s="7">
        <v>0.06</v>
      </c>
      <c r="J465" t="s">
        <v>27</v>
      </c>
      <c r="K465" t="s">
        <v>22</v>
      </c>
    </row>
    <row r="466" spans="1:11" x14ac:dyDescent="0.25">
      <c r="A466" s="1" t="s">
        <v>68</v>
      </c>
      <c r="B466" t="s">
        <v>14</v>
      </c>
      <c r="C466" t="s">
        <v>34</v>
      </c>
      <c r="D466" s="6">
        <f t="shared" si="7"/>
        <v>7273.2479999999996</v>
      </c>
      <c r="E466" s="5">
        <v>2</v>
      </c>
      <c r="F466" t="s">
        <v>35</v>
      </c>
      <c r="G466" s="6">
        <v>4545.78</v>
      </c>
      <c r="H466" t="s">
        <v>17</v>
      </c>
      <c r="I466" s="7">
        <v>0.2</v>
      </c>
      <c r="J466" t="s">
        <v>31</v>
      </c>
      <c r="K466" t="s">
        <v>22</v>
      </c>
    </row>
    <row r="467" spans="1:11" x14ac:dyDescent="0.25">
      <c r="A467" s="1" t="s">
        <v>68</v>
      </c>
      <c r="B467" t="s">
        <v>14</v>
      </c>
      <c r="C467" t="s">
        <v>25</v>
      </c>
      <c r="D467" s="6">
        <f t="shared" si="7"/>
        <v>11140.365</v>
      </c>
      <c r="E467" s="5">
        <v>38</v>
      </c>
      <c r="F467" t="s">
        <v>26</v>
      </c>
      <c r="G467" s="6">
        <v>390.89</v>
      </c>
      <c r="H467" t="s">
        <v>17</v>
      </c>
      <c r="I467" s="7">
        <v>0.25</v>
      </c>
      <c r="J467" t="s">
        <v>31</v>
      </c>
      <c r="K467" t="s">
        <v>19</v>
      </c>
    </row>
    <row r="468" spans="1:11" x14ac:dyDescent="0.25">
      <c r="A468" s="1" t="s">
        <v>68</v>
      </c>
      <c r="B468" t="s">
        <v>38</v>
      </c>
      <c r="C468" t="s">
        <v>25</v>
      </c>
      <c r="D468" s="6">
        <f t="shared" si="7"/>
        <v>96138.1872</v>
      </c>
      <c r="E468" s="5">
        <v>27</v>
      </c>
      <c r="F468" t="s">
        <v>26</v>
      </c>
      <c r="G468" s="6">
        <v>3596.64</v>
      </c>
      <c r="H468" t="s">
        <v>30</v>
      </c>
      <c r="I468" s="7">
        <v>0.01</v>
      </c>
      <c r="J468" t="s">
        <v>18</v>
      </c>
      <c r="K468" t="s">
        <v>22</v>
      </c>
    </row>
    <row r="469" spans="1:11" x14ac:dyDescent="0.25">
      <c r="A469" s="1" t="s">
        <v>68</v>
      </c>
      <c r="B469" t="s">
        <v>38</v>
      </c>
      <c r="C469" t="s">
        <v>25</v>
      </c>
      <c r="D469" s="6">
        <f t="shared" si="7"/>
        <v>40161.557699999998</v>
      </c>
      <c r="E469" s="5">
        <v>9</v>
      </c>
      <c r="F469" t="s">
        <v>29</v>
      </c>
      <c r="G469" s="6">
        <v>5129.1899999999996</v>
      </c>
      <c r="H469" t="s">
        <v>17</v>
      </c>
      <c r="I469" s="7">
        <v>0.13</v>
      </c>
      <c r="J469" t="s">
        <v>31</v>
      </c>
      <c r="K469" t="s">
        <v>19</v>
      </c>
    </row>
    <row r="470" spans="1:11" x14ac:dyDescent="0.25">
      <c r="A470" s="1" t="s">
        <v>68</v>
      </c>
      <c r="B470" t="s">
        <v>42</v>
      </c>
      <c r="C470" t="s">
        <v>21</v>
      </c>
      <c r="D470" s="6">
        <f t="shared" si="7"/>
        <v>6136.0499999999993</v>
      </c>
      <c r="E470" s="5">
        <v>10</v>
      </c>
      <c r="F470" t="s">
        <v>35</v>
      </c>
      <c r="G470" s="6">
        <v>818.14</v>
      </c>
      <c r="H470" t="s">
        <v>17</v>
      </c>
      <c r="I470" s="7">
        <v>0.25</v>
      </c>
      <c r="J470" t="s">
        <v>31</v>
      </c>
      <c r="K470" t="s">
        <v>22</v>
      </c>
    </row>
    <row r="471" spans="1:11" x14ac:dyDescent="0.25">
      <c r="A471" s="1" t="s">
        <v>68</v>
      </c>
      <c r="B471" t="s">
        <v>24</v>
      </c>
      <c r="C471" t="s">
        <v>21</v>
      </c>
      <c r="D471" s="6">
        <f t="shared" si="7"/>
        <v>33848.736299999779</v>
      </c>
      <c r="E471" s="5">
        <v>27</v>
      </c>
      <c r="F471" t="s">
        <v>35</v>
      </c>
      <c r="G471" s="6">
        <v>1510.4299999999901</v>
      </c>
      <c r="H471" t="s">
        <v>17</v>
      </c>
      <c r="I471" s="7">
        <v>0.17</v>
      </c>
      <c r="J471" t="s">
        <v>18</v>
      </c>
      <c r="K471" t="s">
        <v>22</v>
      </c>
    </row>
    <row r="472" spans="1:11" x14ac:dyDescent="0.25">
      <c r="A472" s="1" t="s">
        <v>68</v>
      </c>
      <c r="B472" t="s">
        <v>38</v>
      </c>
      <c r="C472" t="s">
        <v>21</v>
      </c>
      <c r="D472" s="6">
        <f t="shared" si="7"/>
        <v>40685.299200000001</v>
      </c>
      <c r="E472" s="5">
        <v>24</v>
      </c>
      <c r="F472" t="s">
        <v>29</v>
      </c>
      <c r="G472" s="6">
        <v>1862.88</v>
      </c>
      <c r="H472" t="s">
        <v>30</v>
      </c>
      <c r="I472" s="7">
        <v>0.09</v>
      </c>
      <c r="J472" t="s">
        <v>27</v>
      </c>
      <c r="K472" t="s">
        <v>19</v>
      </c>
    </row>
    <row r="473" spans="1:11" x14ac:dyDescent="0.25">
      <c r="A473" s="1" t="s">
        <v>68</v>
      </c>
      <c r="B473" t="s">
        <v>38</v>
      </c>
      <c r="C473" t="s">
        <v>15</v>
      </c>
      <c r="D473" s="6">
        <f t="shared" si="7"/>
        <v>15847.981199999998</v>
      </c>
      <c r="E473" s="5">
        <v>6</v>
      </c>
      <c r="F473" t="s">
        <v>29</v>
      </c>
      <c r="G473" s="6">
        <v>2840.14</v>
      </c>
      <c r="H473" t="s">
        <v>17</v>
      </c>
      <c r="I473" s="7">
        <v>7.0000000000000007E-2</v>
      </c>
      <c r="J473" t="s">
        <v>31</v>
      </c>
      <c r="K473" t="s">
        <v>22</v>
      </c>
    </row>
    <row r="474" spans="1:11" x14ac:dyDescent="0.25">
      <c r="A474" s="1" t="s">
        <v>73</v>
      </c>
      <c r="B474" t="s">
        <v>24</v>
      </c>
      <c r="C474" t="s">
        <v>21</v>
      </c>
      <c r="D474" s="6">
        <f t="shared" si="7"/>
        <v>33895.4928</v>
      </c>
      <c r="E474" s="5">
        <v>37</v>
      </c>
      <c r="F474" t="s">
        <v>35</v>
      </c>
      <c r="G474" s="6">
        <v>1174.48</v>
      </c>
      <c r="H474" t="s">
        <v>30</v>
      </c>
      <c r="I474" s="7">
        <v>0.22</v>
      </c>
      <c r="J474" t="s">
        <v>31</v>
      </c>
      <c r="K474" t="s">
        <v>19</v>
      </c>
    </row>
    <row r="475" spans="1:11" x14ac:dyDescent="0.25">
      <c r="A475" s="1" t="s">
        <v>68</v>
      </c>
      <c r="B475" t="s">
        <v>38</v>
      </c>
      <c r="C475" t="s">
        <v>15</v>
      </c>
      <c r="D475" s="6">
        <f t="shared" si="7"/>
        <v>30051.278399999999</v>
      </c>
      <c r="E475" s="5">
        <v>22</v>
      </c>
      <c r="F475" t="s">
        <v>35</v>
      </c>
      <c r="G475" s="6">
        <v>1751.24</v>
      </c>
      <c r="H475" t="s">
        <v>30</v>
      </c>
      <c r="I475" s="7">
        <v>0.22</v>
      </c>
      <c r="J475" t="s">
        <v>18</v>
      </c>
      <c r="K475" t="s">
        <v>19</v>
      </c>
    </row>
    <row r="476" spans="1:11" x14ac:dyDescent="0.25">
      <c r="A476" s="1" t="s">
        <v>70</v>
      </c>
      <c r="B476" t="s">
        <v>24</v>
      </c>
      <c r="C476" t="s">
        <v>25</v>
      </c>
      <c r="D476" s="6">
        <f t="shared" si="7"/>
        <v>35014.983999999997</v>
      </c>
      <c r="E476" s="5">
        <v>40</v>
      </c>
      <c r="F476" t="s">
        <v>26</v>
      </c>
      <c r="G476" s="6">
        <v>1067.53</v>
      </c>
      <c r="H476" t="s">
        <v>30</v>
      </c>
      <c r="I476" s="7">
        <v>0.18</v>
      </c>
      <c r="J476" t="s">
        <v>18</v>
      </c>
      <c r="K476" t="s">
        <v>19</v>
      </c>
    </row>
    <row r="477" spans="1:11" x14ac:dyDescent="0.25">
      <c r="A477" s="1" t="s">
        <v>68</v>
      </c>
      <c r="B477" t="s">
        <v>42</v>
      </c>
      <c r="C477" t="s">
        <v>15</v>
      </c>
      <c r="D477" s="6">
        <f t="shared" si="7"/>
        <v>7515.8388000000004</v>
      </c>
      <c r="E477" s="5">
        <v>3</v>
      </c>
      <c r="F477" t="s">
        <v>35</v>
      </c>
      <c r="G477" s="6">
        <v>2723.13</v>
      </c>
      <c r="H477" t="s">
        <v>17</v>
      </c>
      <c r="I477" s="7">
        <v>0.08</v>
      </c>
      <c r="J477" t="s">
        <v>18</v>
      </c>
      <c r="K477" t="s">
        <v>22</v>
      </c>
    </row>
    <row r="478" spans="1:11" x14ac:dyDescent="0.25">
      <c r="A478" s="1" t="s">
        <v>68</v>
      </c>
      <c r="B478" t="s">
        <v>14</v>
      </c>
      <c r="C478" t="s">
        <v>25</v>
      </c>
      <c r="D478" s="6">
        <f t="shared" si="7"/>
        <v>29047.099199999895</v>
      </c>
      <c r="E478" s="5">
        <v>14</v>
      </c>
      <c r="F478" t="s">
        <v>16</v>
      </c>
      <c r="G478" s="6">
        <v>2626.3199999999902</v>
      </c>
      <c r="H478" t="s">
        <v>17</v>
      </c>
      <c r="I478" s="7">
        <v>0.21</v>
      </c>
      <c r="J478" t="s">
        <v>31</v>
      </c>
      <c r="K478" t="s">
        <v>19</v>
      </c>
    </row>
    <row r="479" spans="1:11" x14ac:dyDescent="0.25">
      <c r="A479" s="1" t="s">
        <v>68</v>
      </c>
      <c r="B479" t="s">
        <v>42</v>
      </c>
      <c r="C479" t="s">
        <v>34</v>
      </c>
      <c r="D479" s="6">
        <f t="shared" si="7"/>
        <v>128070.71999999999</v>
      </c>
      <c r="E479" s="5">
        <v>32</v>
      </c>
      <c r="F479" t="s">
        <v>26</v>
      </c>
      <c r="G479" s="6">
        <v>4446.8999999999996</v>
      </c>
      <c r="H479" t="s">
        <v>30</v>
      </c>
      <c r="I479" s="7">
        <v>0.1</v>
      </c>
      <c r="J479" t="s">
        <v>27</v>
      </c>
      <c r="K479" t="s">
        <v>19</v>
      </c>
    </row>
    <row r="480" spans="1:11" x14ac:dyDescent="0.25">
      <c r="A480" s="1" t="s">
        <v>68</v>
      </c>
      <c r="B480" t="s">
        <v>14</v>
      </c>
      <c r="C480" t="s">
        <v>21</v>
      </c>
      <c r="D480" s="6">
        <f t="shared" si="7"/>
        <v>49293.164700000001</v>
      </c>
      <c r="E480" s="5">
        <v>13</v>
      </c>
      <c r="F480" t="s">
        <v>16</v>
      </c>
      <c r="G480" s="6">
        <v>4358.37</v>
      </c>
      <c r="H480" t="s">
        <v>30</v>
      </c>
      <c r="I480" s="7">
        <v>0.13</v>
      </c>
      <c r="J480" t="s">
        <v>18</v>
      </c>
      <c r="K480" t="s">
        <v>22</v>
      </c>
    </row>
    <row r="481" spans="1:13" x14ac:dyDescent="0.25">
      <c r="A481" s="1" t="s">
        <v>68</v>
      </c>
      <c r="B481" t="s">
        <v>33</v>
      </c>
      <c r="C481" t="s">
        <v>21</v>
      </c>
      <c r="D481" s="6">
        <f t="shared" si="7"/>
        <v>15106.211999999965</v>
      </c>
      <c r="E481" s="5">
        <v>5</v>
      </c>
      <c r="F481" t="s">
        <v>29</v>
      </c>
      <c r="G481" s="6">
        <v>4082.7599999999902</v>
      </c>
      <c r="H481" t="s">
        <v>30</v>
      </c>
      <c r="I481" s="7">
        <v>0.26</v>
      </c>
      <c r="J481" t="s">
        <v>31</v>
      </c>
      <c r="K481" t="s">
        <v>19</v>
      </c>
    </row>
    <row r="482" spans="1:13" x14ac:dyDescent="0.25">
      <c r="A482" s="1" t="s">
        <v>68</v>
      </c>
      <c r="B482" t="s">
        <v>42</v>
      </c>
      <c r="C482" t="s">
        <v>34</v>
      </c>
      <c r="D482" s="6">
        <f t="shared" si="7"/>
        <v>8213.3760000000002</v>
      </c>
      <c r="E482" s="5">
        <v>32</v>
      </c>
      <c r="F482" t="s">
        <v>26</v>
      </c>
      <c r="G482" s="6">
        <v>351.6</v>
      </c>
      <c r="H482" t="s">
        <v>17</v>
      </c>
      <c r="I482" s="7">
        <v>0.27</v>
      </c>
      <c r="J482" t="s">
        <v>31</v>
      </c>
      <c r="K482" t="s">
        <v>22</v>
      </c>
    </row>
    <row r="483" spans="1:13" x14ac:dyDescent="0.25">
      <c r="A483" s="1" t="s">
        <v>68</v>
      </c>
      <c r="B483" t="s">
        <v>42</v>
      </c>
      <c r="C483" t="s">
        <v>21</v>
      </c>
      <c r="D483" s="6">
        <f t="shared" si="7"/>
        <v>103213.1808</v>
      </c>
      <c r="E483" s="5">
        <v>24</v>
      </c>
      <c r="F483" t="s">
        <v>35</v>
      </c>
      <c r="G483" s="6">
        <v>5309.32</v>
      </c>
      <c r="H483" t="s">
        <v>17</v>
      </c>
      <c r="I483" s="7">
        <v>0.19</v>
      </c>
      <c r="J483" t="s">
        <v>31</v>
      </c>
      <c r="K483" t="s">
        <v>19</v>
      </c>
    </row>
    <row r="484" spans="1:13" x14ac:dyDescent="0.25">
      <c r="A484" s="1" t="s">
        <v>72</v>
      </c>
      <c r="B484" t="s">
        <v>24</v>
      </c>
      <c r="C484" t="s">
        <v>34</v>
      </c>
      <c r="D484" s="6">
        <f t="shared" si="7"/>
        <v>35310.015999999996</v>
      </c>
      <c r="E484" s="5">
        <v>28</v>
      </c>
      <c r="F484" t="s">
        <v>29</v>
      </c>
      <c r="G484" s="6">
        <v>1576.34</v>
      </c>
      <c r="H484" t="s">
        <v>17</v>
      </c>
      <c r="I484" s="7">
        <v>0.2</v>
      </c>
      <c r="J484" t="s">
        <v>27</v>
      </c>
      <c r="K484" t="s">
        <v>19</v>
      </c>
    </row>
    <row r="485" spans="1:13" x14ac:dyDescent="0.25">
      <c r="A485" s="1" t="s">
        <v>68</v>
      </c>
      <c r="B485" t="s">
        <v>33</v>
      </c>
      <c r="C485" t="s">
        <v>25</v>
      </c>
      <c r="D485" s="6">
        <f t="shared" si="7"/>
        <v>85980.302000000011</v>
      </c>
      <c r="E485" s="5">
        <v>29</v>
      </c>
      <c r="F485" t="s">
        <v>35</v>
      </c>
      <c r="G485" s="6">
        <v>3222.65</v>
      </c>
      <c r="H485" t="s">
        <v>17</v>
      </c>
      <c r="I485" s="7">
        <v>0.08</v>
      </c>
      <c r="J485" t="s">
        <v>31</v>
      </c>
      <c r="K485" t="s">
        <v>22</v>
      </c>
    </row>
    <row r="486" spans="1:13" x14ac:dyDescent="0.25">
      <c r="A486" s="1" t="s">
        <v>70</v>
      </c>
      <c r="B486" t="s">
        <v>24</v>
      </c>
      <c r="C486" t="s">
        <v>21</v>
      </c>
      <c r="D486" s="6">
        <f t="shared" si="7"/>
        <v>36669.441599999998</v>
      </c>
      <c r="E486" s="5">
        <v>8</v>
      </c>
      <c r="F486" t="s">
        <v>16</v>
      </c>
      <c r="G486" s="6">
        <v>4629.9799999999996</v>
      </c>
      <c r="H486" t="s">
        <v>17</v>
      </c>
      <c r="I486" s="7">
        <v>0.01</v>
      </c>
      <c r="J486" t="s">
        <v>31</v>
      </c>
      <c r="K486" t="s">
        <v>19</v>
      </c>
    </row>
    <row r="487" spans="1:13" x14ac:dyDescent="0.25">
      <c r="A487" s="1" t="s">
        <v>68</v>
      </c>
      <c r="B487" t="s">
        <v>38</v>
      </c>
      <c r="C487" t="s">
        <v>25</v>
      </c>
      <c r="D487" s="6">
        <f t="shared" si="7"/>
        <v>14433.218800000002</v>
      </c>
      <c r="E487" s="5">
        <v>13</v>
      </c>
      <c r="F487" t="s">
        <v>16</v>
      </c>
      <c r="G487" s="6">
        <v>1441.88</v>
      </c>
      <c r="H487" t="s">
        <v>17</v>
      </c>
      <c r="I487" s="7">
        <v>0.23</v>
      </c>
      <c r="J487" t="s">
        <v>31</v>
      </c>
      <c r="K487" t="s">
        <v>22</v>
      </c>
    </row>
    <row r="488" spans="1:13" x14ac:dyDescent="0.25">
      <c r="A488" s="1" t="s">
        <v>68</v>
      </c>
      <c r="B488" t="s">
        <v>38</v>
      </c>
      <c r="C488" t="s">
        <v>34</v>
      </c>
      <c r="D488" s="6">
        <f t="shared" si="7"/>
        <v>58986.613400000002</v>
      </c>
      <c r="E488" s="5">
        <v>22</v>
      </c>
      <c r="F488" t="s">
        <v>26</v>
      </c>
      <c r="G488" s="6">
        <v>3672.89</v>
      </c>
      <c r="H488" t="s">
        <v>17</v>
      </c>
      <c r="I488" s="7">
        <v>0.27</v>
      </c>
      <c r="J488" t="s">
        <v>31</v>
      </c>
      <c r="K488" t="s">
        <v>19</v>
      </c>
    </row>
    <row r="489" spans="1:13" x14ac:dyDescent="0.25">
      <c r="A489" s="1" t="s">
        <v>68</v>
      </c>
      <c r="B489" t="s">
        <v>38</v>
      </c>
      <c r="C489" t="s">
        <v>15</v>
      </c>
      <c r="D489" s="6">
        <f t="shared" si="7"/>
        <v>43272.19</v>
      </c>
      <c r="E489" s="5">
        <v>26</v>
      </c>
      <c r="F489" t="s">
        <v>16</v>
      </c>
      <c r="G489" s="6">
        <v>1935.25</v>
      </c>
      <c r="H489" t="s">
        <v>30</v>
      </c>
      <c r="I489" s="7">
        <v>0.14000000000000001</v>
      </c>
      <c r="J489" t="s">
        <v>31</v>
      </c>
      <c r="K489" t="s">
        <v>19</v>
      </c>
    </row>
    <row r="490" spans="1:13" x14ac:dyDescent="0.25">
      <c r="A490" s="1" t="s">
        <v>68</v>
      </c>
      <c r="B490" t="s">
        <v>42</v>
      </c>
      <c r="C490" t="s">
        <v>21</v>
      </c>
      <c r="D490" s="6">
        <f t="shared" si="7"/>
        <v>53512.771200000003</v>
      </c>
      <c r="E490" s="5">
        <v>42</v>
      </c>
      <c r="F490" t="s">
        <v>26</v>
      </c>
      <c r="G490" s="6">
        <v>1355.44</v>
      </c>
      <c r="H490" t="s">
        <v>30</v>
      </c>
      <c r="I490" s="7">
        <v>0.06</v>
      </c>
      <c r="J490" t="s">
        <v>18</v>
      </c>
      <c r="K490" t="s">
        <v>22</v>
      </c>
    </row>
    <row r="491" spans="1:13" x14ac:dyDescent="0.25">
      <c r="A491" s="1" t="s">
        <v>68</v>
      </c>
      <c r="B491" t="s">
        <v>14</v>
      </c>
      <c r="C491" t="s">
        <v>21</v>
      </c>
      <c r="D491" s="6">
        <f t="shared" si="7"/>
        <v>162410.87520000001</v>
      </c>
      <c r="E491" s="5">
        <v>38</v>
      </c>
      <c r="F491" t="s">
        <v>16</v>
      </c>
      <c r="G491" s="6">
        <v>5088.0600000000004</v>
      </c>
      <c r="H491" t="s">
        <v>17</v>
      </c>
      <c r="I491" s="7">
        <v>0.16</v>
      </c>
      <c r="J491" t="s">
        <v>31</v>
      </c>
      <c r="K491" t="s">
        <v>22</v>
      </c>
    </row>
    <row r="492" spans="1:13" x14ac:dyDescent="0.25">
      <c r="A492" s="1" t="s">
        <v>68</v>
      </c>
      <c r="B492" t="s">
        <v>33</v>
      </c>
      <c r="C492" t="s">
        <v>34</v>
      </c>
      <c r="D492" s="6">
        <f t="shared" si="7"/>
        <v>164106.43199999997</v>
      </c>
      <c r="E492" s="5">
        <v>35</v>
      </c>
      <c r="F492" t="s">
        <v>16</v>
      </c>
      <c r="G492" s="6">
        <v>4884.12</v>
      </c>
      <c r="H492" t="s">
        <v>30</v>
      </c>
      <c r="I492" s="7">
        <v>0.04</v>
      </c>
      <c r="J492" t="s">
        <v>18</v>
      </c>
      <c r="K492" t="s">
        <v>19</v>
      </c>
    </row>
    <row r="493" spans="1:13" x14ac:dyDescent="0.25">
      <c r="A493" s="1" t="s">
        <v>68</v>
      </c>
      <c r="B493" t="s">
        <v>33</v>
      </c>
      <c r="C493" t="s">
        <v>34</v>
      </c>
      <c r="D493" s="6">
        <f t="shared" si="7"/>
        <v>156331.56240000002</v>
      </c>
      <c r="E493" s="5">
        <v>39</v>
      </c>
      <c r="F493" t="s">
        <v>16</v>
      </c>
      <c r="G493" s="6">
        <v>4829.5200000000004</v>
      </c>
      <c r="H493" t="s">
        <v>17</v>
      </c>
      <c r="I493" s="7">
        <v>0.17</v>
      </c>
      <c r="J493" t="s">
        <v>27</v>
      </c>
      <c r="K493" t="s">
        <v>19</v>
      </c>
    </row>
    <row r="494" spans="1:13" x14ac:dyDescent="0.25">
      <c r="A494" s="1" t="s">
        <v>67</v>
      </c>
      <c r="B494" t="s">
        <v>24</v>
      </c>
      <c r="C494" t="s">
        <v>34</v>
      </c>
      <c r="D494" s="6">
        <f t="shared" si="7"/>
        <v>37491.926399999684</v>
      </c>
      <c r="E494" s="5">
        <v>36</v>
      </c>
      <c r="F494" t="s">
        <v>26</v>
      </c>
      <c r="G494" s="6">
        <v>1170.1599999999901</v>
      </c>
      <c r="H494" t="s">
        <v>17</v>
      </c>
      <c r="I494" s="7">
        <v>0.11</v>
      </c>
      <c r="J494" t="s">
        <v>18</v>
      </c>
      <c r="K494" t="s">
        <v>22</v>
      </c>
      <c r="M494" s="10"/>
    </row>
    <row r="495" spans="1:13" x14ac:dyDescent="0.25">
      <c r="A495" s="1" t="s">
        <v>68</v>
      </c>
      <c r="B495" t="s">
        <v>42</v>
      </c>
      <c r="C495" t="s">
        <v>34</v>
      </c>
      <c r="D495" s="6">
        <f t="shared" si="7"/>
        <v>32247.924800000004</v>
      </c>
      <c r="E495" s="5">
        <v>13</v>
      </c>
      <c r="F495" t="s">
        <v>16</v>
      </c>
      <c r="G495" s="6">
        <v>3263.96</v>
      </c>
      <c r="H495" t="s">
        <v>30</v>
      </c>
      <c r="I495" s="7">
        <v>0.24</v>
      </c>
      <c r="J495" t="s">
        <v>18</v>
      </c>
      <c r="K495" t="s">
        <v>22</v>
      </c>
    </row>
    <row r="496" spans="1:13" x14ac:dyDescent="0.25">
      <c r="A496" s="1" t="s">
        <v>68</v>
      </c>
      <c r="B496" t="s">
        <v>14</v>
      </c>
      <c r="C496" t="s">
        <v>15</v>
      </c>
      <c r="D496" s="6">
        <f t="shared" si="7"/>
        <v>28527.618899999921</v>
      </c>
      <c r="E496" s="5">
        <v>11</v>
      </c>
      <c r="F496" t="s">
        <v>16</v>
      </c>
      <c r="G496" s="6">
        <v>3552.6299999999901</v>
      </c>
      <c r="H496" t="s">
        <v>30</v>
      </c>
      <c r="I496" s="7">
        <v>0.27</v>
      </c>
      <c r="J496" t="s">
        <v>18</v>
      </c>
      <c r="K496" t="s">
        <v>22</v>
      </c>
    </row>
    <row r="497" spans="1:11" x14ac:dyDescent="0.25">
      <c r="A497" s="1" t="s">
        <v>68</v>
      </c>
      <c r="B497" t="s">
        <v>33</v>
      </c>
      <c r="C497" t="s">
        <v>15</v>
      </c>
      <c r="D497" s="6">
        <f t="shared" si="7"/>
        <v>27829.49</v>
      </c>
      <c r="E497" s="5">
        <v>19</v>
      </c>
      <c r="F497" t="s">
        <v>35</v>
      </c>
      <c r="G497" s="6">
        <v>1464.71</v>
      </c>
      <c r="H497" t="s">
        <v>30</v>
      </c>
      <c r="I497" s="7">
        <v>0</v>
      </c>
      <c r="J497" t="s">
        <v>31</v>
      </c>
      <c r="K497" t="s">
        <v>22</v>
      </c>
    </row>
    <row r="498" spans="1:11" x14ac:dyDescent="0.25">
      <c r="A498" s="1" t="s">
        <v>68</v>
      </c>
      <c r="B498" t="s">
        <v>38</v>
      </c>
      <c r="C498" t="s">
        <v>34</v>
      </c>
      <c r="D498" s="6">
        <f t="shared" si="7"/>
        <v>29791.313999999998</v>
      </c>
      <c r="E498" s="5">
        <v>49</v>
      </c>
      <c r="F498" t="s">
        <v>29</v>
      </c>
      <c r="G498" s="6">
        <v>675.54</v>
      </c>
      <c r="H498" t="s">
        <v>17</v>
      </c>
      <c r="I498" s="7">
        <v>0.1</v>
      </c>
      <c r="J498" t="s">
        <v>18</v>
      </c>
      <c r="K498" t="s">
        <v>19</v>
      </c>
    </row>
    <row r="499" spans="1:11" x14ac:dyDescent="0.25">
      <c r="A499" s="1" t="s">
        <v>68</v>
      </c>
      <c r="B499" t="s">
        <v>33</v>
      </c>
      <c r="C499" t="s">
        <v>34</v>
      </c>
      <c r="D499" s="6">
        <f t="shared" si="7"/>
        <v>204698.43839999998</v>
      </c>
      <c r="E499" s="5">
        <v>43</v>
      </c>
      <c r="F499" t="s">
        <v>16</v>
      </c>
      <c r="G499" s="6">
        <v>4958.78</v>
      </c>
      <c r="H499" t="s">
        <v>30</v>
      </c>
      <c r="I499" s="7">
        <v>0.04</v>
      </c>
      <c r="J499" t="s">
        <v>18</v>
      </c>
      <c r="K499" t="s">
        <v>22</v>
      </c>
    </row>
    <row r="500" spans="1:11" x14ac:dyDescent="0.25">
      <c r="A500" s="1" t="s">
        <v>68</v>
      </c>
      <c r="B500" t="s">
        <v>33</v>
      </c>
      <c r="C500" t="s">
        <v>34</v>
      </c>
      <c r="D500" s="6">
        <f t="shared" si="7"/>
        <v>19933.267199999998</v>
      </c>
      <c r="E500" s="5">
        <v>16</v>
      </c>
      <c r="F500" t="s">
        <v>16</v>
      </c>
      <c r="G500" s="6">
        <v>1284.3599999999999</v>
      </c>
      <c r="H500" t="s">
        <v>17</v>
      </c>
      <c r="I500" s="7">
        <v>0.03</v>
      </c>
      <c r="J500" t="s">
        <v>31</v>
      </c>
      <c r="K500" t="s">
        <v>22</v>
      </c>
    </row>
    <row r="501" spans="1:11" x14ac:dyDescent="0.25">
      <c r="A501" s="1" t="s">
        <v>68</v>
      </c>
      <c r="B501" t="s">
        <v>24</v>
      </c>
      <c r="C501" t="s">
        <v>21</v>
      </c>
      <c r="D501" s="6">
        <f t="shared" si="7"/>
        <v>38565.2592</v>
      </c>
      <c r="E501" s="5">
        <v>46</v>
      </c>
      <c r="F501" t="s">
        <v>29</v>
      </c>
      <c r="G501" s="6">
        <v>1164.4100000000001</v>
      </c>
      <c r="H501" t="s">
        <v>17</v>
      </c>
      <c r="I501" s="7">
        <v>0.28000000000000003</v>
      </c>
      <c r="J501" t="s">
        <v>31</v>
      </c>
      <c r="K501" t="s">
        <v>22</v>
      </c>
    </row>
    <row r="502" spans="1:11" x14ac:dyDescent="0.25">
      <c r="A502" s="1" t="s">
        <v>65</v>
      </c>
      <c r="B502" t="s">
        <v>24</v>
      </c>
      <c r="C502" t="s">
        <v>15</v>
      </c>
      <c r="D502" s="6">
        <f t="shared" si="7"/>
        <v>39262.273500000003</v>
      </c>
      <c r="E502" s="5">
        <v>17</v>
      </c>
      <c r="F502" t="s">
        <v>16</v>
      </c>
      <c r="G502" s="6">
        <v>2654.65</v>
      </c>
      <c r="H502" t="s">
        <v>30</v>
      </c>
      <c r="I502" s="7">
        <v>0.13</v>
      </c>
      <c r="J502" t="s">
        <v>18</v>
      </c>
      <c r="K502" t="s">
        <v>22</v>
      </c>
    </row>
    <row r="503" spans="1:11" x14ac:dyDescent="0.25">
      <c r="A503" s="1" t="s">
        <v>73</v>
      </c>
      <c r="B503" t="s">
        <v>14</v>
      </c>
      <c r="C503" t="s">
        <v>21</v>
      </c>
      <c r="D503" s="6">
        <f t="shared" si="7"/>
        <v>147970.90769999998</v>
      </c>
      <c r="E503" s="5">
        <v>43</v>
      </c>
      <c r="F503" t="s">
        <v>16</v>
      </c>
      <c r="G503" s="6">
        <v>4469.07</v>
      </c>
      <c r="H503" t="s">
        <v>17</v>
      </c>
      <c r="I503" s="7">
        <v>0.23</v>
      </c>
      <c r="J503" t="s">
        <v>18</v>
      </c>
      <c r="K503" t="s">
        <v>22</v>
      </c>
    </row>
    <row r="504" spans="1:11" x14ac:dyDescent="0.25">
      <c r="A504" s="1" t="s">
        <v>73</v>
      </c>
      <c r="B504" t="s">
        <v>42</v>
      </c>
      <c r="C504" t="s">
        <v>34</v>
      </c>
      <c r="D504" s="6">
        <f t="shared" si="7"/>
        <v>122476.76280000001</v>
      </c>
      <c r="E504" s="5">
        <v>42</v>
      </c>
      <c r="F504" t="s">
        <v>29</v>
      </c>
      <c r="G504" s="6">
        <v>3600.14</v>
      </c>
      <c r="H504" t="s">
        <v>17</v>
      </c>
      <c r="I504" s="7">
        <v>0.19</v>
      </c>
      <c r="J504" t="s">
        <v>31</v>
      </c>
      <c r="K504" t="s">
        <v>22</v>
      </c>
    </row>
    <row r="505" spans="1:11" x14ac:dyDescent="0.25">
      <c r="A505" s="1" t="s">
        <v>65</v>
      </c>
      <c r="B505" t="s">
        <v>24</v>
      </c>
      <c r="C505" t="s">
        <v>15</v>
      </c>
      <c r="D505" s="6">
        <f t="shared" si="7"/>
        <v>40033.2405</v>
      </c>
      <c r="E505" s="5">
        <v>33</v>
      </c>
      <c r="F505" t="s">
        <v>35</v>
      </c>
      <c r="G505" s="6">
        <v>1427.21</v>
      </c>
      <c r="H505" t="s">
        <v>17</v>
      </c>
      <c r="I505" s="7">
        <v>0.15</v>
      </c>
      <c r="J505" t="s">
        <v>31</v>
      </c>
      <c r="K505" t="s">
        <v>19</v>
      </c>
    </row>
    <row r="506" spans="1:11" x14ac:dyDescent="0.25">
      <c r="A506" s="1" t="s">
        <v>73</v>
      </c>
      <c r="B506" t="s">
        <v>38</v>
      </c>
      <c r="C506" t="s">
        <v>21</v>
      </c>
      <c r="D506" s="6">
        <f t="shared" si="7"/>
        <v>21608.664000000001</v>
      </c>
      <c r="E506" s="5">
        <v>15</v>
      </c>
      <c r="F506" t="s">
        <v>35</v>
      </c>
      <c r="G506" s="6">
        <v>1870.88</v>
      </c>
      <c r="H506" t="s">
        <v>17</v>
      </c>
      <c r="I506" s="7">
        <v>0.23</v>
      </c>
      <c r="J506" t="s">
        <v>18</v>
      </c>
      <c r="K506" t="s">
        <v>19</v>
      </c>
    </row>
    <row r="507" spans="1:11" x14ac:dyDescent="0.25">
      <c r="A507" s="1" t="s">
        <v>73</v>
      </c>
      <c r="B507" t="s">
        <v>33</v>
      </c>
      <c r="C507" t="s">
        <v>34</v>
      </c>
      <c r="D507" s="6">
        <f t="shared" si="7"/>
        <v>121252.80960000001</v>
      </c>
      <c r="E507" s="5">
        <v>48</v>
      </c>
      <c r="F507" t="s">
        <v>26</v>
      </c>
      <c r="G507" s="6">
        <v>3080.61</v>
      </c>
      <c r="H507" t="s">
        <v>17</v>
      </c>
      <c r="I507" s="7">
        <v>0.18</v>
      </c>
      <c r="J507" t="s">
        <v>27</v>
      </c>
      <c r="K507" t="s">
        <v>22</v>
      </c>
    </row>
    <row r="508" spans="1:11" x14ac:dyDescent="0.25">
      <c r="A508" s="1" t="s">
        <v>73</v>
      </c>
      <c r="B508" t="s">
        <v>33</v>
      </c>
      <c r="C508" t="s">
        <v>15</v>
      </c>
      <c r="D508" s="6">
        <f t="shared" si="7"/>
        <v>41289.983999999997</v>
      </c>
      <c r="E508" s="5">
        <v>15</v>
      </c>
      <c r="F508" t="s">
        <v>16</v>
      </c>
      <c r="G508" s="6">
        <v>2867.36</v>
      </c>
      <c r="H508" t="s">
        <v>17</v>
      </c>
      <c r="I508" s="7">
        <v>0.04</v>
      </c>
      <c r="J508" t="s">
        <v>27</v>
      </c>
      <c r="K508" t="s">
        <v>22</v>
      </c>
    </row>
    <row r="509" spans="1:11" x14ac:dyDescent="0.25">
      <c r="A509" s="1" t="s">
        <v>73</v>
      </c>
      <c r="B509" t="s">
        <v>33</v>
      </c>
      <c r="C509" t="s">
        <v>15</v>
      </c>
      <c r="D509" s="6">
        <f t="shared" si="7"/>
        <v>28104.068000000003</v>
      </c>
      <c r="E509" s="5">
        <v>10</v>
      </c>
      <c r="F509" t="s">
        <v>35</v>
      </c>
      <c r="G509" s="6">
        <v>3054.79</v>
      </c>
      <c r="H509" t="s">
        <v>17</v>
      </c>
      <c r="I509" s="7">
        <v>0.08</v>
      </c>
      <c r="J509" t="s">
        <v>31</v>
      </c>
      <c r="K509" t="s">
        <v>19</v>
      </c>
    </row>
    <row r="510" spans="1:11" x14ac:dyDescent="0.25">
      <c r="A510" s="1" t="s">
        <v>73</v>
      </c>
      <c r="B510" t="s">
        <v>33</v>
      </c>
      <c r="C510" t="s">
        <v>21</v>
      </c>
      <c r="D510" s="6">
        <f t="shared" si="7"/>
        <v>137940.057</v>
      </c>
      <c r="E510" s="5">
        <v>38</v>
      </c>
      <c r="F510" t="s">
        <v>35</v>
      </c>
      <c r="G510" s="6">
        <v>4270.59</v>
      </c>
      <c r="H510" t="s">
        <v>17</v>
      </c>
      <c r="I510" s="7">
        <v>0.15</v>
      </c>
      <c r="J510" t="s">
        <v>31</v>
      </c>
      <c r="K510" t="s">
        <v>19</v>
      </c>
    </row>
    <row r="511" spans="1:11" x14ac:dyDescent="0.25">
      <c r="A511" s="1" t="s">
        <v>71</v>
      </c>
      <c r="B511" t="s">
        <v>24</v>
      </c>
      <c r="C511" t="s">
        <v>34</v>
      </c>
      <c r="D511" s="6">
        <f t="shared" si="7"/>
        <v>40076.035199999998</v>
      </c>
      <c r="E511" s="5">
        <v>36</v>
      </c>
      <c r="F511" t="s">
        <v>29</v>
      </c>
      <c r="G511" s="6">
        <v>1567.92</v>
      </c>
      <c r="H511" t="s">
        <v>30</v>
      </c>
      <c r="I511" s="7">
        <v>0.28999999999999998</v>
      </c>
      <c r="J511" t="s">
        <v>18</v>
      </c>
      <c r="K511" t="s">
        <v>19</v>
      </c>
    </row>
    <row r="512" spans="1:11" x14ac:dyDescent="0.25">
      <c r="A512" s="1" t="s">
        <v>73</v>
      </c>
      <c r="B512" t="s">
        <v>24</v>
      </c>
      <c r="C512" t="s">
        <v>15</v>
      </c>
      <c r="D512" s="6">
        <f t="shared" si="7"/>
        <v>40681.840499999998</v>
      </c>
      <c r="E512" s="5">
        <v>9</v>
      </c>
      <c r="F512" t="s">
        <v>35</v>
      </c>
      <c r="G512" s="6">
        <v>4758.1099999999997</v>
      </c>
      <c r="H512" t="s">
        <v>17</v>
      </c>
      <c r="I512" s="7">
        <v>0.05</v>
      </c>
      <c r="J512" t="s">
        <v>27</v>
      </c>
      <c r="K512" t="s">
        <v>19</v>
      </c>
    </row>
    <row r="513" spans="1:11" x14ac:dyDescent="0.25">
      <c r="A513" s="1" t="s">
        <v>73</v>
      </c>
      <c r="B513" t="s">
        <v>14</v>
      </c>
      <c r="C513" t="s">
        <v>25</v>
      </c>
      <c r="D513" s="6">
        <f t="shared" si="7"/>
        <v>57142.784</v>
      </c>
      <c r="E513" s="5">
        <v>16</v>
      </c>
      <c r="F513" t="s">
        <v>16</v>
      </c>
      <c r="G513" s="6">
        <v>4464.28</v>
      </c>
      <c r="H513" t="s">
        <v>17</v>
      </c>
      <c r="I513" s="7">
        <v>0.2</v>
      </c>
      <c r="J513" t="s">
        <v>31</v>
      </c>
      <c r="K513" t="s">
        <v>22</v>
      </c>
    </row>
    <row r="514" spans="1:11" x14ac:dyDescent="0.25">
      <c r="A514" s="1" t="s">
        <v>73</v>
      </c>
      <c r="B514" t="s">
        <v>42</v>
      </c>
      <c r="C514" t="s">
        <v>21</v>
      </c>
      <c r="D514" s="6">
        <f t="shared" ref="D514:D577" si="8">(Unit_Price*Qty_Sold)*(1-Discount)</f>
        <v>28163.780999999999</v>
      </c>
      <c r="E514" s="5">
        <v>17</v>
      </c>
      <c r="F514" t="s">
        <v>16</v>
      </c>
      <c r="G514" s="6">
        <v>1840.77</v>
      </c>
      <c r="H514" t="s">
        <v>17</v>
      </c>
      <c r="I514" s="7">
        <v>0.1</v>
      </c>
      <c r="J514" t="s">
        <v>31</v>
      </c>
      <c r="K514" t="s">
        <v>19</v>
      </c>
    </row>
    <row r="515" spans="1:11" x14ac:dyDescent="0.25">
      <c r="A515" s="1" t="s">
        <v>69</v>
      </c>
      <c r="B515" t="s">
        <v>24</v>
      </c>
      <c r="C515" t="s">
        <v>25</v>
      </c>
      <c r="D515" s="6">
        <f t="shared" si="8"/>
        <v>41180.333999999995</v>
      </c>
      <c r="E515" s="5">
        <v>39</v>
      </c>
      <c r="F515" t="s">
        <v>29</v>
      </c>
      <c r="G515" s="6">
        <v>1389.35</v>
      </c>
      <c r="H515" t="s">
        <v>30</v>
      </c>
      <c r="I515" s="7">
        <v>0.24</v>
      </c>
      <c r="J515" t="s">
        <v>27</v>
      </c>
      <c r="K515" t="s">
        <v>19</v>
      </c>
    </row>
    <row r="516" spans="1:11" x14ac:dyDescent="0.25">
      <c r="A516" s="1" t="s">
        <v>73</v>
      </c>
      <c r="B516" t="s">
        <v>42</v>
      </c>
      <c r="C516" t="s">
        <v>34</v>
      </c>
      <c r="D516" s="6">
        <f t="shared" si="8"/>
        <v>30650.099000000002</v>
      </c>
      <c r="E516" s="5">
        <v>23</v>
      </c>
      <c r="F516" t="s">
        <v>35</v>
      </c>
      <c r="G516" s="6">
        <v>1567.78</v>
      </c>
      <c r="H516" t="s">
        <v>17</v>
      </c>
      <c r="I516" s="7">
        <v>0.15</v>
      </c>
      <c r="J516" t="s">
        <v>31</v>
      </c>
      <c r="K516" t="s">
        <v>22</v>
      </c>
    </row>
    <row r="517" spans="1:11" x14ac:dyDescent="0.25">
      <c r="A517" s="1" t="s">
        <v>73</v>
      </c>
      <c r="B517" t="s">
        <v>42</v>
      </c>
      <c r="C517" t="s">
        <v>15</v>
      </c>
      <c r="D517" s="6">
        <f t="shared" si="8"/>
        <v>10253.869199999999</v>
      </c>
      <c r="E517" s="5">
        <v>6</v>
      </c>
      <c r="F517" t="s">
        <v>16</v>
      </c>
      <c r="G517" s="6">
        <v>2309.4299999999998</v>
      </c>
      <c r="H517" t="s">
        <v>30</v>
      </c>
      <c r="I517" s="7">
        <v>0.26</v>
      </c>
      <c r="J517" t="s">
        <v>31</v>
      </c>
      <c r="K517" t="s">
        <v>19</v>
      </c>
    </row>
    <row r="518" spans="1:11" x14ac:dyDescent="0.25">
      <c r="A518" s="1" t="s">
        <v>73</v>
      </c>
      <c r="B518" t="s">
        <v>42</v>
      </c>
      <c r="C518" t="s">
        <v>25</v>
      </c>
      <c r="D518" s="6">
        <f t="shared" si="8"/>
        <v>165470.9025</v>
      </c>
      <c r="E518" s="5">
        <v>47</v>
      </c>
      <c r="F518" t="s">
        <v>26</v>
      </c>
      <c r="G518" s="6">
        <v>4694.21</v>
      </c>
      <c r="H518" t="s">
        <v>30</v>
      </c>
      <c r="I518" s="7">
        <v>0.25</v>
      </c>
      <c r="J518" t="s">
        <v>27</v>
      </c>
      <c r="K518" t="s">
        <v>19</v>
      </c>
    </row>
    <row r="519" spans="1:11" x14ac:dyDescent="0.25">
      <c r="A519" s="1" t="s">
        <v>73</v>
      </c>
      <c r="B519" t="s">
        <v>38</v>
      </c>
      <c r="C519" t="s">
        <v>15</v>
      </c>
      <c r="D519" s="6">
        <f t="shared" si="8"/>
        <v>19761.4725</v>
      </c>
      <c r="E519" s="5">
        <v>15</v>
      </c>
      <c r="F519" t="s">
        <v>29</v>
      </c>
      <c r="G519" s="6">
        <v>1710.95</v>
      </c>
      <c r="H519" t="s">
        <v>30</v>
      </c>
      <c r="I519" s="7">
        <v>0.23</v>
      </c>
      <c r="J519" t="s">
        <v>31</v>
      </c>
      <c r="K519" t="s">
        <v>22</v>
      </c>
    </row>
    <row r="520" spans="1:11" x14ac:dyDescent="0.25">
      <c r="A520" s="1" t="s">
        <v>73</v>
      </c>
      <c r="B520" t="s">
        <v>38</v>
      </c>
      <c r="C520" t="s">
        <v>15</v>
      </c>
      <c r="D520" s="6">
        <f t="shared" si="8"/>
        <v>84291.980499999685</v>
      </c>
      <c r="E520" s="5">
        <v>35</v>
      </c>
      <c r="F520" t="s">
        <v>29</v>
      </c>
      <c r="G520" s="6">
        <v>2646.5299999999902</v>
      </c>
      <c r="H520" t="s">
        <v>17</v>
      </c>
      <c r="I520" s="7">
        <v>0.09</v>
      </c>
      <c r="J520" t="s">
        <v>27</v>
      </c>
      <c r="K520" t="s">
        <v>19</v>
      </c>
    </row>
    <row r="521" spans="1:11" x14ac:dyDescent="0.25">
      <c r="A521" s="1" t="s">
        <v>73</v>
      </c>
      <c r="B521" t="s">
        <v>42</v>
      </c>
      <c r="C521" t="s">
        <v>25</v>
      </c>
      <c r="D521" s="6">
        <f t="shared" si="8"/>
        <v>16567.761600000002</v>
      </c>
      <c r="E521" s="5">
        <v>18</v>
      </c>
      <c r="F521" t="s">
        <v>16</v>
      </c>
      <c r="G521" s="6">
        <v>1180.04</v>
      </c>
      <c r="H521" t="s">
        <v>17</v>
      </c>
      <c r="I521" s="7">
        <v>0.22</v>
      </c>
      <c r="J521" t="s">
        <v>27</v>
      </c>
      <c r="K521" t="s">
        <v>19</v>
      </c>
    </row>
    <row r="522" spans="1:11" x14ac:dyDescent="0.25">
      <c r="A522" s="1" t="s">
        <v>73</v>
      </c>
      <c r="B522" t="s">
        <v>14</v>
      </c>
      <c r="C522" t="s">
        <v>34</v>
      </c>
      <c r="D522" s="6">
        <f t="shared" si="8"/>
        <v>152793.2405999997</v>
      </c>
      <c r="E522" s="5">
        <v>39</v>
      </c>
      <c r="F522" t="s">
        <v>29</v>
      </c>
      <c r="G522" s="6">
        <v>5088.0199999999904</v>
      </c>
      <c r="H522" t="s">
        <v>30</v>
      </c>
      <c r="I522" s="7">
        <v>0.23</v>
      </c>
      <c r="J522" t="s">
        <v>27</v>
      </c>
      <c r="K522" t="s">
        <v>22</v>
      </c>
    </row>
    <row r="523" spans="1:11" x14ac:dyDescent="0.25">
      <c r="A523" s="1" t="s">
        <v>73</v>
      </c>
      <c r="B523" t="s">
        <v>14</v>
      </c>
      <c r="C523" t="s">
        <v>34</v>
      </c>
      <c r="D523" s="6">
        <f t="shared" si="8"/>
        <v>29357.203200000004</v>
      </c>
      <c r="E523" s="5">
        <v>32</v>
      </c>
      <c r="F523" t="s">
        <v>35</v>
      </c>
      <c r="G523" s="6">
        <v>1176.17</v>
      </c>
      <c r="H523" t="s">
        <v>30</v>
      </c>
      <c r="I523" s="7">
        <v>0.22</v>
      </c>
      <c r="J523" t="s">
        <v>27</v>
      </c>
      <c r="K523" t="s">
        <v>22</v>
      </c>
    </row>
    <row r="524" spans="1:11" x14ac:dyDescent="0.25">
      <c r="A524" s="1" t="s">
        <v>65</v>
      </c>
      <c r="B524" t="s">
        <v>24</v>
      </c>
      <c r="C524" t="s">
        <v>21</v>
      </c>
      <c r="D524" s="6">
        <f t="shared" si="8"/>
        <v>41484.989500000003</v>
      </c>
      <c r="E524" s="5">
        <v>17</v>
      </c>
      <c r="F524" t="s">
        <v>26</v>
      </c>
      <c r="G524" s="6">
        <v>2568.73</v>
      </c>
      <c r="H524" t="s">
        <v>30</v>
      </c>
      <c r="I524" s="7">
        <v>0.05</v>
      </c>
      <c r="J524" t="s">
        <v>18</v>
      </c>
      <c r="K524" t="s">
        <v>22</v>
      </c>
    </row>
    <row r="525" spans="1:11" x14ac:dyDescent="0.25">
      <c r="A525" s="1" t="s">
        <v>70</v>
      </c>
      <c r="B525" t="s">
        <v>24</v>
      </c>
      <c r="C525" t="s">
        <v>21</v>
      </c>
      <c r="D525" s="6">
        <f t="shared" si="8"/>
        <v>43574.536000000007</v>
      </c>
      <c r="E525" s="5">
        <v>17</v>
      </c>
      <c r="F525" t="s">
        <v>26</v>
      </c>
      <c r="G525" s="6">
        <v>3204.01</v>
      </c>
      <c r="H525" t="s">
        <v>30</v>
      </c>
      <c r="I525" s="7">
        <v>0.2</v>
      </c>
      <c r="J525" t="s">
        <v>27</v>
      </c>
      <c r="K525" t="s">
        <v>19</v>
      </c>
    </row>
    <row r="526" spans="1:11" x14ac:dyDescent="0.25">
      <c r="A526" s="1" t="s">
        <v>73</v>
      </c>
      <c r="B526" t="s">
        <v>14</v>
      </c>
      <c r="C526" t="s">
        <v>15</v>
      </c>
      <c r="D526" s="6">
        <f t="shared" si="8"/>
        <v>18353.706599999998</v>
      </c>
      <c r="E526" s="5">
        <v>17</v>
      </c>
      <c r="F526" t="s">
        <v>26</v>
      </c>
      <c r="G526" s="6">
        <v>1366.62</v>
      </c>
      <c r="H526" t="s">
        <v>30</v>
      </c>
      <c r="I526" s="7">
        <v>0.21</v>
      </c>
      <c r="J526" t="s">
        <v>31</v>
      </c>
      <c r="K526" t="s">
        <v>22</v>
      </c>
    </row>
    <row r="527" spans="1:11" x14ac:dyDescent="0.25">
      <c r="A527" s="1" t="s">
        <v>63</v>
      </c>
      <c r="B527" t="s">
        <v>24</v>
      </c>
      <c r="C527" t="s">
        <v>21</v>
      </c>
      <c r="D527" s="6">
        <f t="shared" si="8"/>
        <v>44645.180999999699</v>
      </c>
      <c r="E527" s="5">
        <v>35</v>
      </c>
      <c r="F527" t="s">
        <v>35</v>
      </c>
      <c r="G527" s="6">
        <v>1466.1799999999901</v>
      </c>
      <c r="H527" t="s">
        <v>17</v>
      </c>
      <c r="I527" s="7">
        <v>0.13</v>
      </c>
      <c r="J527" t="s">
        <v>18</v>
      </c>
      <c r="K527" t="s">
        <v>19</v>
      </c>
    </row>
    <row r="528" spans="1:11" x14ac:dyDescent="0.25">
      <c r="A528" s="1" t="s">
        <v>73</v>
      </c>
      <c r="B528" t="s">
        <v>38</v>
      </c>
      <c r="C528" t="s">
        <v>34</v>
      </c>
      <c r="D528" s="6">
        <f t="shared" si="8"/>
        <v>34065.99839999988</v>
      </c>
      <c r="E528" s="5">
        <v>14</v>
      </c>
      <c r="F528" t="s">
        <v>35</v>
      </c>
      <c r="G528" s="6">
        <v>2796.8799999999901</v>
      </c>
      <c r="H528" t="s">
        <v>30</v>
      </c>
      <c r="I528" s="7">
        <v>0.13</v>
      </c>
      <c r="J528" t="s">
        <v>27</v>
      </c>
      <c r="K528" t="s">
        <v>19</v>
      </c>
    </row>
    <row r="529" spans="1:11" x14ac:dyDescent="0.25">
      <c r="A529" s="1" t="s">
        <v>73</v>
      </c>
      <c r="B529" t="s">
        <v>33</v>
      </c>
      <c r="C529" t="s">
        <v>34</v>
      </c>
      <c r="D529" s="6">
        <f t="shared" si="8"/>
        <v>4874.2276000000002</v>
      </c>
      <c r="E529" s="5">
        <v>11</v>
      </c>
      <c r="F529" t="s">
        <v>35</v>
      </c>
      <c r="G529" s="6">
        <v>540.38</v>
      </c>
      <c r="H529" t="s">
        <v>30</v>
      </c>
      <c r="I529" s="7">
        <v>0.18</v>
      </c>
      <c r="J529" t="s">
        <v>27</v>
      </c>
      <c r="K529" t="s">
        <v>19</v>
      </c>
    </row>
    <row r="530" spans="1:11" x14ac:dyDescent="0.25">
      <c r="A530" s="1" t="s">
        <v>73</v>
      </c>
      <c r="B530" t="s">
        <v>38</v>
      </c>
      <c r="C530" t="s">
        <v>21</v>
      </c>
      <c r="D530" s="6">
        <f t="shared" si="8"/>
        <v>169764.33539999998</v>
      </c>
      <c r="E530" s="5">
        <v>43</v>
      </c>
      <c r="F530" t="s">
        <v>16</v>
      </c>
      <c r="G530" s="6">
        <v>4537.9399999999996</v>
      </c>
      <c r="H530" t="s">
        <v>17</v>
      </c>
      <c r="I530" s="7">
        <v>0.13</v>
      </c>
      <c r="J530" t="s">
        <v>27</v>
      </c>
      <c r="K530" t="s">
        <v>19</v>
      </c>
    </row>
    <row r="531" spans="1:11" x14ac:dyDescent="0.25">
      <c r="A531" s="1" t="s">
        <v>73</v>
      </c>
      <c r="B531" t="s">
        <v>38</v>
      </c>
      <c r="C531" t="s">
        <v>15</v>
      </c>
      <c r="D531" s="6">
        <f t="shared" si="8"/>
        <v>84697.267200000002</v>
      </c>
      <c r="E531" s="5">
        <v>48</v>
      </c>
      <c r="F531" t="s">
        <v>35</v>
      </c>
      <c r="G531" s="6">
        <v>1939.04</v>
      </c>
      <c r="H531" t="s">
        <v>30</v>
      </c>
      <c r="I531" s="7">
        <v>0.09</v>
      </c>
      <c r="J531" t="s">
        <v>31</v>
      </c>
      <c r="K531" t="s">
        <v>19</v>
      </c>
    </row>
    <row r="532" spans="1:11" x14ac:dyDescent="0.25">
      <c r="A532" s="1" t="s">
        <v>68</v>
      </c>
      <c r="B532" t="s">
        <v>24</v>
      </c>
      <c r="C532" t="s">
        <v>21</v>
      </c>
      <c r="D532" s="6">
        <f t="shared" si="8"/>
        <v>44842.2912</v>
      </c>
      <c r="E532" s="5">
        <v>42</v>
      </c>
      <c r="F532" t="s">
        <v>29</v>
      </c>
      <c r="G532" s="6">
        <v>1482.88</v>
      </c>
      <c r="H532" t="s">
        <v>30</v>
      </c>
      <c r="I532" s="7">
        <v>0.28000000000000003</v>
      </c>
      <c r="J532" t="s">
        <v>31</v>
      </c>
      <c r="K532" t="s">
        <v>22</v>
      </c>
    </row>
    <row r="533" spans="1:11" x14ac:dyDescent="0.25">
      <c r="A533" s="1" t="s">
        <v>73</v>
      </c>
      <c r="B533" t="s">
        <v>33</v>
      </c>
      <c r="C533" t="s">
        <v>21</v>
      </c>
      <c r="D533" s="6">
        <f t="shared" si="8"/>
        <v>23901.905999999995</v>
      </c>
      <c r="E533" s="5">
        <v>10</v>
      </c>
      <c r="F533" t="s">
        <v>16</v>
      </c>
      <c r="G533" s="6">
        <v>2438.9699999999998</v>
      </c>
      <c r="H533" t="s">
        <v>17</v>
      </c>
      <c r="I533" s="7">
        <v>0.02</v>
      </c>
      <c r="J533" t="s">
        <v>27</v>
      </c>
      <c r="K533" t="s">
        <v>22</v>
      </c>
    </row>
    <row r="534" spans="1:11" x14ac:dyDescent="0.25">
      <c r="A534" s="1" t="s">
        <v>73</v>
      </c>
      <c r="B534" t="s">
        <v>38</v>
      </c>
      <c r="C534" t="s">
        <v>25</v>
      </c>
      <c r="D534" s="6">
        <f t="shared" si="8"/>
        <v>36595.641599999995</v>
      </c>
      <c r="E534" s="5">
        <v>42</v>
      </c>
      <c r="F534" t="s">
        <v>35</v>
      </c>
      <c r="G534" s="6">
        <v>907.63</v>
      </c>
      <c r="H534" t="s">
        <v>30</v>
      </c>
      <c r="I534" s="7">
        <v>0.04</v>
      </c>
      <c r="J534" t="s">
        <v>18</v>
      </c>
      <c r="K534" t="s">
        <v>22</v>
      </c>
    </row>
    <row r="535" spans="1:11" x14ac:dyDescent="0.25">
      <c r="A535" s="1" t="s">
        <v>73</v>
      </c>
      <c r="B535" t="s">
        <v>38</v>
      </c>
      <c r="C535" t="s">
        <v>34</v>
      </c>
      <c r="D535" s="6">
        <f t="shared" si="8"/>
        <v>52115.580399999999</v>
      </c>
      <c r="E535" s="5">
        <v>13</v>
      </c>
      <c r="F535" t="s">
        <v>26</v>
      </c>
      <c r="G535" s="6">
        <v>4357.49</v>
      </c>
      <c r="H535" t="s">
        <v>30</v>
      </c>
      <c r="I535" s="7">
        <v>0.08</v>
      </c>
      <c r="J535" t="s">
        <v>27</v>
      </c>
      <c r="K535" t="s">
        <v>19</v>
      </c>
    </row>
    <row r="536" spans="1:11" x14ac:dyDescent="0.25">
      <c r="A536" s="1" t="s">
        <v>73</v>
      </c>
      <c r="B536" t="s">
        <v>42</v>
      </c>
      <c r="C536" t="s">
        <v>15</v>
      </c>
      <c r="D536" s="6">
        <f t="shared" si="8"/>
        <v>33128.064000000006</v>
      </c>
      <c r="E536" s="5">
        <v>36</v>
      </c>
      <c r="F536" t="s">
        <v>35</v>
      </c>
      <c r="G536" s="6">
        <v>1150.28</v>
      </c>
      <c r="H536" t="s">
        <v>30</v>
      </c>
      <c r="I536" s="7">
        <v>0.2</v>
      </c>
      <c r="J536" t="s">
        <v>27</v>
      </c>
      <c r="K536" t="s">
        <v>19</v>
      </c>
    </row>
    <row r="537" spans="1:11" x14ac:dyDescent="0.25">
      <c r="A537" s="1" t="s">
        <v>73</v>
      </c>
      <c r="B537" t="s">
        <v>42</v>
      </c>
      <c r="C537" t="s">
        <v>15</v>
      </c>
      <c r="D537" s="6">
        <f t="shared" si="8"/>
        <v>75720.233600000007</v>
      </c>
      <c r="E537" s="5">
        <v>47</v>
      </c>
      <c r="F537" t="s">
        <v>35</v>
      </c>
      <c r="G537" s="6">
        <v>1830.76</v>
      </c>
      <c r="H537" t="s">
        <v>30</v>
      </c>
      <c r="I537" s="7">
        <v>0.12</v>
      </c>
      <c r="J537" t="s">
        <v>27</v>
      </c>
      <c r="K537" t="s">
        <v>19</v>
      </c>
    </row>
    <row r="538" spans="1:11" x14ac:dyDescent="0.25">
      <c r="A538" s="1" t="s">
        <v>73</v>
      </c>
      <c r="B538" t="s">
        <v>33</v>
      </c>
      <c r="C538" t="s">
        <v>15</v>
      </c>
      <c r="D538" s="6">
        <f t="shared" si="8"/>
        <v>34790.432000000001</v>
      </c>
      <c r="E538" s="5">
        <v>31</v>
      </c>
      <c r="F538" t="s">
        <v>16</v>
      </c>
      <c r="G538" s="6">
        <v>1320.32</v>
      </c>
      <c r="H538" t="s">
        <v>30</v>
      </c>
      <c r="I538" s="7">
        <v>0.15</v>
      </c>
      <c r="J538" t="s">
        <v>18</v>
      </c>
      <c r="K538" t="s">
        <v>19</v>
      </c>
    </row>
    <row r="539" spans="1:11" x14ac:dyDescent="0.25">
      <c r="A539" s="1" t="s">
        <v>73</v>
      </c>
      <c r="B539" t="s">
        <v>42</v>
      </c>
      <c r="C539" t="s">
        <v>15</v>
      </c>
      <c r="D539" s="6">
        <f t="shared" si="8"/>
        <v>1700.6220000000001</v>
      </c>
      <c r="E539" s="5">
        <v>2</v>
      </c>
      <c r="F539" t="s">
        <v>26</v>
      </c>
      <c r="G539" s="6">
        <v>944.79</v>
      </c>
      <c r="H539" t="s">
        <v>30</v>
      </c>
      <c r="I539" s="7">
        <v>0.1</v>
      </c>
      <c r="J539" t="s">
        <v>31</v>
      </c>
      <c r="K539" t="s">
        <v>22</v>
      </c>
    </row>
    <row r="540" spans="1:11" x14ac:dyDescent="0.25">
      <c r="A540" s="1" t="s">
        <v>73</v>
      </c>
      <c r="B540" t="s">
        <v>38</v>
      </c>
      <c r="C540" t="s">
        <v>25</v>
      </c>
      <c r="D540" s="6">
        <f t="shared" si="8"/>
        <v>64959.585600000006</v>
      </c>
      <c r="E540" s="5">
        <v>16</v>
      </c>
      <c r="F540" t="s">
        <v>29</v>
      </c>
      <c r="G540" s="6">
        <v>4461.51</v>
      </c>
      <c r="H540" t="s">
        <v>17</v>
      </c>
      <c r="I540" s="7">
        <v>0.09</v>
      </c>
      <c r="J540" t="s">
        <v>27</v>
      </c>
      <c r="K540" t="s">
        <v>19</v>
      </c>
    </row>
    <row r="541" spans="1:11" x14ac:dyDescent="0.25">
      <c r="A541" s="1" t="s">
        <v>73</v>
      </c>
      <c r="B541" t="s">
        <v>33</v>
      </c>
      <c r="C541" t="s">
        <v>15</v>
      </c>
      <c r="D541" s="6">
        <f t="shared" si="8"/>
        <v>30123.223899999997</v>
      </c>
      <c r="E541" s="5">
        <v>31</v>
      </c>
      <c r="F541" t="s">
        <v>29</v>
      </c>
      <c r="G541" s="6">
        <v>1001.77</v>
      </c>
      <c r="H541" t="s">
        <v>30</v>
      </c>
      <c r="I541" s="7">
        <v>0.03</v>
      </c>
      <c r="J541" t="s">
        <v>18</v>
      </c>
      <c r="K541" t="s">
        <v>19</v>
      </c>
    </row>
    <row r="542" spans="1:11" x14ac:dyDescent="0.25">
      <c r="A542" s="1" t="s">
        <v>73</v>
      </c>
      <c r="B542" t="s">
        <v>42</v>
      </c>
      <c r="C542" t="s">
        <v>15</v>
      </c>
      <c r="D542" s="6">
        <f t="shared" si="8"/>
        <v>50017.953600000001</v>
      </c>
      <c r="E542" s="5">
        <v>12</v>
      </c>
      <c r="F542" t="s">
        <v>29</v>
      </c>
      <c r="G542" s="6">
        <v>5145.88</v>
      </c>
      <c r="H542" t="s">
        <v>17</v>
      </c>
      <c r="I542" s="7">
        <v>0.19</v>
      </c>
      <c r="J542" t="s">
        <v>31</v>
      </c>
      <c r="K542" t="s">
        <v>19</v>
      </c>
    </row>
    <row r="543" spans="1:11" x14ac:dyDescent="0.25">
      <c r="A543" s="1" t="s">
        <v>73</v>
      </c>
      <c r="B543" t="s">
        <v>14</v>
      </c>
      <c r="C543" t="s">
        <v>25</v>
      </c>
      <c r="D543" s="6">
        <f t="shared" si="8"/>
        <v>73780.601399999781</v>
      </c>
      <c r="E543" s="5">
        <v>22</v>
      </c>
      <c r="F543" t="s">
        <v>26</v>
      </c>
      <c r="G543" s="6">
        <v>3606.0899999999901</v>
      </c>
      <c r="H543" t="s">
        <v>30</v>
      </c>
      <c r="I543" s="7">
        <v>7.0000000000000007E-2</v>
      </c>
      <c r="J543" t="s">
        <v>18</v>
      </c>
      <c r="K543" t="s">
        <v>19</v>
      </c>
    </row>
    <row r="544" spans="1:11" x14ac:dyDescent="0.25">
      <c r="A544" s="1" t="s">
        <v>73</v>
      </c>
      <c r="B544" t="s">
        <v>42</v>
      </c>
      <c r="C544" t="s">
        <v>21</v>
      </c>
      <c r="D544" s="6">
        <f t="shared" si="8"/>
        <v>95299.156799999997</v>
      </c>
      <c r="E544" s="5">
        <v>27</v>
      </c>
      <c r="F544" t="s">
        <v>16</v>
      </c>
      <c r="G544" s="6">
        <v>3836.52</v>
      </c>
      <c r="H544" t="s">
        <v>30</v>
      </c>
      <c r="I544" s="7">
        <v>0.08</v>
      </c>
      <c r="J544" t="s">
        <v>18</v>
      </c>
      <c r="K544" t="s">
        <v>19</v>
      </c>
    </row>
    <row r="545" spans="1:11" x14ac:dyDescent="0.25">
      <c r="A545" s="1" t="s">
        <v>73</v>
      </c>
      <c r="B545" t="s">
        <v>24</v>
      </c>
      <c r="C545" t="s">
        <v>21</v>
      </c>
      <c r="D545" s="6">
        <f t="shared" si="8"/>
        <v>45121.633199999997</v>
      </c>
      <c r="E545" s="5">
        <v>19</v>
      </c>
      <c r="F545" t="s">
        <v>29</v>
      </c>
      <c r="G545" s="6">
        <v>3209.22</v>
      </c>
      <c r="H545" t="s">
        <v>17</v>
      </c>
      <c r="I545" s="7">
        <v>0.26</v>
      </c>
      <c r="J545" t="s">
        <v>18</v>
      </c>
      <c r="K545" t="s">
        <v>19</v>
      </c>
    </row>
    <row r="546" spans="1:11" x14ac:dyDescent="0.25">
      <c r="A546" s="1" t="s">
        <v>73</v>
      </c>
      <c r="B546" t="s">
        <v>33</v>
      </c>
      <c r="C546" t="s">
        <v>21</v>
      </c>
      <c r="D546" s="6">
        <f t="shared" si="8"/>
        <v>59155.910799999998</v>
      </c>
      <c r="E546" s="5">
        <v>14</v>
      </c>
      <c r="F546" t="s">
        <v>26</v>
      </c>
      <c r="G546" s="6">
        <v>4495.13</v>
      </c>
      <c r="H546" t="s">
        <v>30</v>
      </c>
      <c r="I546" s="7">
        <v>0.06</v>
      </c>
      <c r="J546" t="s">
        <v>27</v>
      </c>
      <c r="K546" t="s">
        <v>22</v>
      </c>
    </row>
    <row r="547" spans="1:11" x14ac:dyDescent="0.25">
      <c r="A547" s="1" t="s">
        <v>73</v>
      </c>
      <c r="B547" t="s">
        <v>38</v>
      </c>
      <c r="C547" t="s">
        <v>21</v>
      </c>
      <c r="D547" s="6">
        <f t="shared" si="8"/>
        <v>8965.6919999999991</v>
      </c>
      <c r="E547" s="5">
        <v>5</v>
      </c>
      <c r="F547" t="s">
        <v>26</v>
      </c>
      <c r="G547" s="6">
        <v>2490.4699999999998</v>
      </c>
      <c r="H547" t="s">
        <v>30</v>
      </c>
      <c r="I547" s="7">
        <v>0.28000000000000003</v>
      </c>
      <c r="J547" t="s">
        <v>18</v>
      </c>
      <c r="K547" t="s">
        <v>19</v>
      </c>
    </row>
    <row r="548" spans="1:11" x14ac:dyDescent="0.25">
      <c r="A548" s="1" t="s">
        <v>73</v>
      </c>
      <c r="B548" t="s">
        <v>42</v>
      </c>
      <c r="C548" t="s">
        <v>25</v>
      </c>
      <c r="D548" s="6">
        <f t="shared" si="8"/>
        <v>33759.123999999996</v>
      </c>
      <c r="E548" s="5">
        <v>14</v>
      </c>
      <c r="F548" t="s">
        <v>16</v>
      </c>
      <c r="G548" s="6">
        <v>2709.4</v>
      </c>
      <c r="H548" t="s">
        <v>17</v>
      </c>
      <c r="I548" s="7">
        <v>0.11</v>
      </c>
      <c r="J548" t="s">
        <v>31</v>
      </c>
      <c r="K548" t="s">
        <v>22</v>
      </c>
    </row>
    <row r="549" spans="1:11" x14ac:dyDescent="0.25">
      <c r="A549" s="1" t="s">
        <v>70</v>
      </c>
      <c r="B549" t="s">
        <v>24</v>
      </c>
      <c r="C549" t="s">
        <v>34</v>
      </c>
      <c r="D549" s="6">
        <f t="shared" si="8"/>
        <v>45783.324999999997</v>
      </c>
      <c r="E549" s="5">
        <v>25</v>
      </c>
      <c r="F549" t="s">
        <v>26</v>
      </c>
      <c r="G549" s="6">
        <v>2616.19</v>
      </c>
      <c r="H549" t="s">
        <v>30</v>
      </c>
      <c r="I549" s="7">
        <v>0.3</v>
      </c>
      <c r="J549" t="s">
        <v>27</v>
      </c>
      <c r="K549" t="s">
        <v>22</v>
      </c>
    </row>
    <row r="550" spans="1:11" x14ac:dyDescent="0.25">
      <c r="A550" s="1" t="s">
        <v>73</v>
      </c>
      <c r="B550" t="s">
        <v>38</v>
      </c>
      <c r="C550" t="s">
        <v>34</v>
      </c>
      <c r="D550" s="6">
        <f t="shared" si="8"/>
        <v>93601.7016</v>
      </c>
      <c r="E550" s="5">
        <v>33</v>
      </c>
      <c r="F550" t="s">
        <v>35</v>
      </c>
      <c r="G550" s="6">
        <v>3083.06</v>
      </c>
      <c r="H550" t="s">
        <v>30</v>
      </c>
      <c r="I550" s="7">
        <v>0.08</v>
      </c>
      <c r="J550" t="s">
        <v>31</v>
      </c>
      <c r="K550" t="s">
        <v>19</v>
      </c>
    </row>
    <row r="551" spans="1:11" x14ac:dyDescent="0.25">
      <c r="A551" s="1" t="s">
        <v>73</v>
      </c>
      <c r="B551" t="s">
        <v>38</v>
      </c>
      <c r="C551" t="s">
        <v>15</v>
      </c>
      <c r="D551" s="6">
        <f t="shared" si="8"/>
        <v>57767.455199999866</v>
      </c>
      <c r="E551" s="5">
        <v>17</v>
      </c>
      <c r="F551" t="s">
        <v>16</v>
      </c>
      <c r="G551" s="6">
        <v>4045.3399999999901</v>
      </c>
      <c r="H551" t="s">
        <v>17</v>
      </c>
      <c r="I551" s="7">
        <v>0.16</v>
      </c>
      <c r="J551" t="s">
        <v>31</v>
      </c>
      <c r="K551" t="s">
        <v>19</v>
      </c>
    </row>
    <row r="552" spans="1:11" x14ac:dyDescent="0.25">
      <c r="A552" s="1" t="s">
        <v>73</v>
      </c>
      <c r="B552" t="s">
        <v>38</v>
      </c>
      <c r="C552" t="s">
        <v>34</v>
      </c>
      <c r="D552" s="6">
        <f t="shared" si="8"/>
        <v>58835.69279999999</v>
      </c>
      <c r="E552" s="5">
        <v>46</v>
      </c>
      <c r="F552" t="s">
        <v>26</v>
      </c>
      <c r="G552" s="6">
        <v>1437.12</v>
      </c>
      <c r="H552" t="s">
        <v>30</v>
      </c>
      <c r="I552" s="7">
        <v>0.11</v>
      </c>
      <c r="J552" t="s">
        <v>31</v>
      </c>
      <c r="K552" t="s">
        <v>19</v>
      </c>
    </row>
    <row r="553" spans="1:11" x14ac:dyDescent="0.25">
      <c r="A553" s="1" t="s">
        <v>73</v>
      </c>
      <c r="B553" t="s">
        <v>33</v>
      </c>
      <c r="C553" t="s">
        <v>21</v>
      </c>
      <c r="D553" s="6">
        <f t="shared" si="8"/>
        <v>94600.407999999996</v>
      </c>
      <c r="E553" s="5">
        <v>40</v>
      </c>
      <c r="F553" t="s">
        <v>35</v>
      </c>
      <c r="G553" s="6">
        <v>3239.74</v>
      </c>
      <c r="H553" t="s">
        <v>30</v>
      </c>
      <c r="I553" s="7">
        <v>0.27</v>
      </c>
      <c r="J553" t="s">
        <v>31</v>
      </c>
      <c r="K553" t="s">
        <v>19</v>
      </c>
    </row>
    <row r="554" spans="1:11" x14ac:dyDescent="0.25">
      <c r="A554" s="1" t="s">
        <v>73</v>
      </c>
      <c r="B554" t="s">
        <v>14</v>
      </c>
      <c r="C554" t="s">
        <v>21</v>
      </c>
      <c r="D554" s="6">
        <f t="shared" si="8"/>
        <v>83383.3</v>
      </c>
      <c r="E554" s="5">
        <v>35</v>
      </c>
      <c r="F554" t="s">
        <v>16</v>
      </c>
      <c r="G554" s="6">
        <v>2707.25</v>
      </c>
      <c r="H554" t="s">
        <v>30</v>
      </c>
      <c r="I554" s="7">
        <v>0.12</v>
      </c>
      <c r="J554" t="s">
        <v>31</v>
      </c>
      <c r="K554" t="s">
        <v>22</v>
      </c>
    </row>
    <row r="555" spans="1:11" x14ac:dyDescent="0.25">
      <c r="A555" s="1" t="s">
        <v>73</v>
      </c>
      <c r="B555" t="s">
        <v>38</v>
      </c>
      <c r="C555" t="s">
        <v>15</v>
      </c>
      <c r="D555" s="6">
        <f t="shared" si="8"/>
        <v>40679.179199999999</v>
      </c>
      <c r="E555" s="5">
        <v>16</v>
      </c>
      <c r="F555" t="s">
        <v>29</v>
      </c>
      <c r="G555" s="6">
        <v>2568.13</v>
      </c>
      <c r="H555" t="s">
        <v>30</v>
      </c>
      <c r="I555" s="7">
        <v>0.01</v>
      </c>
      <c r="J555" t="s">
        <v>31</v>
      </c>
      <c r="K555" t="s">
        <v>19</v>
      </c>
    </row>
    <row r="556" spans="1:11" x14ac:dyDescent="0.25">
      <c r="A556" s="1" t="s">
        <v>73</v>
      </c>
      <c r="B556" t="s">
        <v>24</v>
      </c>
      <c r="C556" t="s">
        <v>15</v>
      </c>
      <c r="D556" s="6">
        <f t="shared" si="8"/>
        <v>45941.441999999995</v>
      </c>
      <c r="E556" s="5">
        <v>23</v>
      </c>
      <c r="F556" t="s">
        <v>35</v>
      </c>
      <c r="G556" s="6">
        <v>2147.8000000000002</v>
      </c>
      <c r="H556" t="s">
        <v>30</v>
      </c>
      <c r="I556" s="7">
        <v>7.0000000000000007E-2</v>
      </c>
      <c r="J556" t="s">
        <v>27</v>
      </c>
      <c r="K556" t="s">
        <v>19</v>
      </c>
    </row>
    <row r="557" spans="1:11" x14ac:dyDescent="0.25">
      <c r="A557" s="1" t="s">
        <v>73</v>
      </c>
      <c r="B557" t="s">
        <v>38</v>
      </c>
      <c r="C557" t="s">
        <v>25</v>
      </c>
      <c r="D557" s="6">
        <f t="shared" si="8"/>
        <v>207439.67979999998</v>
      </c>
      <c r="E557" s="5">
        <v>43</v>
      </c>
      <c r="F557" t="s">
        <v>16</v>
      </c>
      <c r="G557" s="6">
        <v>4973.38</v>
      </c>
      <c r="H557" t="s">
        <v>17</v>
      </c>
      <c r="I557" s="7">
        <v>0.03</v>
      </c>
      <c r="J557" t="s">
        <v>27</v>
      </c>
      <c r="K557" t="s">
        <v>19</v>
      </c>
    </row>
    <row r="558" spans="1:11" x14ac:dyDescent="0.25">
      <c r="A558" s="1" t="s">
        <v>73</v>
      </c>
      <c r="B558" t="s">
        <v>33</v>
      </c>
      <c r="C558" t="s">
        <v>34</v>
      </c>
      <c r="D558" s="6">
        <f t="shared" si="8"/>
        <v>56761.065499999851</v>
      </c>
      <c r="E558" s="5">
        <v>19</v>
      </c>
      <c r="F558" t="s">
        <v>16</v>
      </c>
      <c r="G558" s="6">
        <v>3781.5499999999902</v>
      </c>
      <c r="H558" t="s">
        <v>17</v>
      </c>
      <c r="I558" s="7">
        <v>0.21</v>
      </c>
      <c r="J558" t="s">
        <v>31</v>
      </c>
      <c r="K558" t="s">
        <v>22</v>
      </c>
    </row>
    <row r="559" spans="1:11" x14ac:dyDescent="0.25">
      <c r="A559" s="1" t="s">
        <v>73</v>
      </c>
      <c r="B559" t="s">
        <v>42</v>
      </c>
      <c r="C559" t="s">
        <v>25</v>
      </c>
      <c r="D559" s="6">
        <f t="shared" si="8"/>
        <v>78490.421199999997</v>
      </c>
      <c r="E559" s="5">
        <v>19</v>
      </c>
      <c r="F559" t="s">
        <v>35</v>
      </c>
      <c r="G559" s="6">
        <v>4258.84</v>
      </c>
      <c r="H559" t="s">
        <v>17</v>
      </c>
      <c r="I559" s="7">
        <v>0.03</v>
      </c>
      <c r="J559" t="s">
        <v>31</v>
      </c>
      <c r="K559" t="s">
        <v>19</v>
      </c>
    </row>
    <row r="560" spans="1:11" x14ac:dyDescent="0.25">
      <c r="A560" s="1" t="s">
        <v>73</v>
      </c>
      <c r="B560" t="s">
        <v>42</v>
      </c>
      <c r="C560" t="s">
        <v>34</v>
      </c>
      <c r="D560" s="6">
        <f t="shared" si="8"/>
        <v>126972.38399999999</v>
      </c>
      <c r="E560" s="5">
        <v>48</v>
      </c>
      <c r="F560" t="s">
        <v>26</v>
      </c>
      <c r="G560" s="6">
        <v>3778.94</v>
      </c>
      <c r="H560" t="s">
        <v>17</v>
      </c>
      <c r="I560" s="7">
        <v>0.3</v>
      </c>
      <c r="J560" t="s">
        <v>27</v>
      </c>
      <c r="K560" t="s">
        <v>19</v>
      </c>
    </row>
    <row r="561" spans="1:13" x14ac:dyDescent="0.25">
      <c r="A561" s="1" t="s">
        <v>73</v>
      </c>
      <c r="B561" t="s">
        <v>33</v>
      </c>
      <c r="C561" t="s">
        <v>34</v>
      </c>
      <c r="D561" s="6">
        <f t="shared" si="8"/>
        <v>3721.69</v>
      </c>
      <c r="E561" s="5">
        <v>4</v>
      </c>
      <c r="F561" t="s">
        <v>16</v>
      </c>
      <c r="G561" s="6">
        <v>1177.75</v>
      </c>
      <c r="H561" t="s">
        <v>17</v>
      </c>
      <c r="I561" s="7">
        <v>0.21</v>
      </c>
      <c r="J561" t="s">
        <v>31</v>
      </c>
      <c r="K561" t="s">
        <v>22</v>
      </c>
    </row>
    <row r="562" spans="1:13" x14ac:dyDescent="0.25">
      <c r="A562" s="1" t="s">
        <v>73</v>
      </c>
      <c r="B562" t="s">
        <v>38</v>
      </c>
      <c r="C562" t="s">
        <v>34</v>
      </c>
      <c r="D562" s="6">
        <f t="shared" si="8"/>
        <v>14080.364799999999</v>
      </c>
      <c r="E562" s="5">
        <v>16</v>
      </c>
      <c r="F562" t="s">
        <v>29</v>
      </c>
      <c r="G562" s="6">
        <v>1189.22</v>
      </c>
      <c r="H562" t="s">
        <v>17</v>
      </c>
      <c r="I562" s="7">
        <v>0.26</v>
      </c>
      <c r="J562" t="s">
        <v>31</v>
      </c>
      <c r="K562" t="s">
        <v>22</v>
      </c>
    </row>
    <row r="563" spans="1:13" x14ac:dyDescent="0.25">
      <c r="A563" s="1" t="s">
        <v>73</v>
      </c>
      <c r="B563" t="s">
        <v>33</v>
      </c>
      <c r="C563" t="s">
        <v>21</v>
      </c>
      <c r="D563" s="6">
        <f t="shared" si="8"/>
        <v>78022.297600000005</v>
      </c>
      <c r="E563" s="5">
        <v>26</v>
      </c>
      <c r="F563" t="s">
        <v>35</v>
      </c>
      <c r="G563" s="6">
        <v>4226.5600000000004</v>
      </c>
      <c r="H563" t="s">
        <v>17</v>
      </c>
      <c r="I563" s="7">
        <v>0.28999999999999998</v>
      </c>
      <c r="J563" t="s">
        <v>18</v>
      </c>
      <c r="K563" t="s">
        <v>22</v>
      </c>
    </row>
    <row r="564" spans="1:13" x14ac:dyDescent="0.25">
      <c r="A564" s="1" t="s">
        <v>73</v>
      </c>
      <c r="B564" t="s">
        <v>38</v>
      </c>
      <c r="C564" t="s">
        <v>15</v>
      </c>
      <c r="D564" s="6">
        <f t="shared" si="8"/>
        <v>3352.8627000000006</v>
      </c>
      <c r="E564" s="5">
        <v>3</v>
      </c>
      <c r="F564" t="s">
        <v>29</v>
      </c>
      <c r="G564" s="6">
        <v>1128.9100000000001</v>
      </c>
      <c r="H564" t="s">
        <v>30</v>
      </c>
      <c r="I564" s="7">
        <v>0.01</v>
      </c>
      <c r="J564" t="s">
        <v>27</v>
      </c>
      <c r="K564" t="s">
        <v>22</v>
      </c>
    </row>
    <row r="565" spans="1:13" x14ac:dyDescent="0.25">
      <c r="A565" s="1" t="s">
        <v>69</v>
      </c>
      <c r="B565" t="s">
        <v>24</v>
      </c>
      <c r="C565" t="s">
        <v>15</v>
      </c>
      <c r="D565" s="6">
        <f t="shared" si="8"/>
        <v>46046.552999999993</v>
      </c>
      <c r="E565" s="5">
        <v>15</v>
      </c>
      <c r="F565" t="s">
        <v>26</v>
      </c>
      <c r="G565" s="6">
        <v>4323.62</v>
      </c>
      <c r="H565" t="s">
        <v>17</v>
      </c>
      <c r="I565" s="7">
        <v>0.28999999999999998</v>
      </c>
      <c r="J565" t="s">
        <v>31</v>
      </c>
      <c r="K565" t="s">
        <v>22</v>
      </c>
    </row>
    <row r="566" spans="1:13" x14ac:dyDescent="0.25">
      <c r="A566" s="1" t="s">
        <v>67</v>
      </c>
      <c r="B566" t="s">
        <v>24</v>
      </c>
      <c r="C566" t="s">
        <v>34</v>
      </c>
      <c r="D566" s="6">
        <f t="shared" si="8"/>
        <v>46820.087599999999</v>
      </c>
      <c r="E566" s="5">
        <v>34</v>
      </c>
      <c r="F566" t="s">
        <v>29</v>
      </c>
      <c r="G566" s="6">
        <v>1547.26</v>
      </c>
      <c r="H566" t="s">
        <v>30</v>
      </c>
      <c r="I566" s="7">
        <v>0.11</v>
      </c>
      <c r="J566" t="s">
        <v>27</v>
      </c>
      <c r="K566" t="s">
        <v>19</v>
      </c>
      <c r="M566" s="10"/>
    </row>
    <row r="567" spans="1:13" x14ac:dyDescent="0.25">
      <c r="A567" s="1" t="s">
        <v>73</v>
      </c>
      <c r="B567" t="s">
        <v>38</v>
      </c>
      <c r="C567" t="s">
        <v>34</v>
      </c>
      <c r="D567" s="6">
        <f t="shared" si="8"/>
        <v>4036.7539999999995</v>
      </c>
      <c r="E567" s="5">
        <v>1</v>
      </c>
      <c r="F567" t="s">
        <v>16</v>
      </c>
      <c r="G567" s="6">
        <v>4693.8999999999996</v>
      </c>
      <c r="H567" t="s">
        <v>30</v>
      </c>
      <c r="I567" s="7">
        <v>0.14000000000000001</v>
      </c>
      <c r="J567" t="s">
        <v>18</v>
      </c>
      <c r="K567" t="s">
        <v>22</v>
      </c>
    </row>
    <row r="568" spans="1:13" x14ac:dyDescent="0.25">
      <c r="A568" s="1" t="s">
        <v>73</v>
      </c>
      <c r="B568" t="s">
        <v>38</v>
      </c>
      <c r="C568" t="s">
        <v>15</v>
      </c>
      <c r="D568" s="6">
        <f t="shared" si="8"/>
        <v>6154.8220000000001</v>
      </c>
      <c r="E568" s="5">
        <v>4</v>
      </c>
      <c r="F568" t="s">
        <v>29</v>
      </c>
      <c r="G568" s="6">
        <v>1619.69</v>
      </c>
      <c r="H568" t="s">
        <v>17</v>
      </c>
      <c r="I568" s="7">
        <v>0.05</v>
      </c>
      <c r="J568" t="s">
        <v>27</v>
      </c>
      <c r="K568" t="s">
        <v>22</v>
      </c>
    </row>
    <row r="569" spans="1:13" x14ac:dyDescent="0.25">
      <c r="A569" s="1" t="s">
        <v>71</v>
      </c>
      <c r="B569" t="s">
        <v>24</v>
      </c>
      <c r="C569" t="s">
        <v>34</v>
      </c>
      <c r="D569" s="6">
        <f t="shared" si="8"/>
        <v>46838.207999999999</v>
      </c>
      <c r="E569" s="5">
        <v>24</v>
      </c>
      <c r="F569" t="s">
        <v>35</v>
      </c>
      <c r="G569" s="6">
        <v>2439.4899999999998</v>
      </c>
      <c r="H569" t="s">
        <v>17</v>
      </c>
      <c r="I569" s="7">
        <v>0.2</v>
      </c>
      <c r="J569" t="s">
        <v>31</v>
      </c>
      <c r="K569" t="s">
        <v>22</v>
      </c>
    </row>
    <row r="570" spans="1:13" x14ac:dyDescent="0.25">
      <c r="A570" s="1" t="s">
        <v>65</v>
      </c>
      <c r="B570" t="s">
        <v>14</v>
      </c>
      <c r="C570" t="s">
        <v>25</v>
      </c>
      <c r="D570" s="6">
        <f t="shared" si="8"/>
        <v>170757.405</v>
      </c>
      <c r="E570" s="5">
        <v>39</v>
      </c>
      <c r="F570" t="s">
        <v>29</v>
      </c>
      <c r="G570" s="6">
        <v>4467.75</v>
      </c>
      <c r="H570" t="s">
        <v>30</v>
      </c>
      <c r="I570" s="7">
        <v>0.02</v>
      </c>
      <c r="J570" t="s">
        <v>31</v>
      </c>
      <c r="K570" t="s">
        <v>22</v>
      </c>
    </row>
    <row r="571" spans="1:13" x14ac:dyDescent="0.25">
      <c r="A571" s="1" t="s">
        <v>65</v>
      </c>
      <c r="B571" t="s">
        <v>14</v>
      </c>
      <c r="C571" t="s">
        <v>21</v>
      </c>
      <c r="D571" s="6">
        <f t="shared" si="8"/>
        <v>44997.126400000008</v>
      </c>
      <c r="E571" s="5">
        <v>43</v>
      </c>
      <c r="F571" t="s">
        <v>26</v>
      </c>
      <c r="G571" s="6">
        <v>1137.44</v>
      </c>
      <c r="H571" t="s">
        <v>17</v>
      </c>
      <c r="I571" s="7">
        <v>0.08</v>
      </c>
      <c r="J571" t="s">
        <v>27</v>
      </c>
      <c r="K571" t="s">
        <v>19</v>
      </c>
    </row>
    <row r="572" spans="1:13" x14ac:dyDescent="0.25">
      <c r="A572" s="1" t="s">
        <v>65</v>
      </c>
      <c r="B572" t="s">
        <v>33</v>
      </c>
      <c r="C572" t="s">
        <v>25</v>
      </c>
      <c r="D572" s="6">
        <f t="shared" si="8"/>
        <v>42785.735999999997</v>
      </c>
      <c r="E572" s="5">
        <v>21</v>
      </c>
      <c r="F572" t="s">
        <v>26</v>
      </c>
      <c r="G572" s="6">
        <v>2869.6</v>
      </c>
      <c r="H572" t="s">
        <v>30</v>
      </c>
      <c r="I572" s="7">
        <v>0.28999999999999998</v>
      </c>
      <c r="J572" t="s">
        <v>27</v>
      </c>
      <c r="K572" t="s">
        <v>22</v>
      </c>
    </row>
    <row r="573" spans="1:13" x14ac:dyDescent="0.25">
      <c r="A573" s="1" t="s">
        <v>65</v>
      </c>
      <c r="B573" t="s">
        <v>42</v>
      </c>
      <c r="C573" t="s">
        <v>15</v>
      </c>
      <c r="D573" s="6">
        <f t="shared" si="8"/>
        <v>129123.03600000001</v>
      </c>
      <c r="E573" s="5">
        <v>35</v>
      </c>
      <c r="F573" t="s">
        <v>26</v>
      </c>
      <c r="G573" s="6">
        <v>3764.52</v>
      </c>
      <c r="H573" t="s">
        <v>17</v>
      </c>
      <c r="I573" s="7">
        <v>0.02</v>
      </c>
      <c r="J573" t="s">
        <v>31</v>
      </c>
      <c r="K573" t="s">
        <v>19</v>
      </c>
    </row>
    <row r="574" spans="1:13" x14ac:dyDescent="0.25">
      <c r="A574" s="1" t="s">
        <v>65</v>
      </c>
      <c r="B574" t="s">
        <v>14</v>
      </c>
      <c r="C574" t="s">
        <v>34</v>
      </c>
      <c r="D574" s="6">
        <f t="shared" si="8"/>
        <v>53778.6944</v>
      </c>
      <c r="E574" s="5">
        <v>16</v>
      </c>
      <c r="F574" t="s">
        <v>29</v>
      </c>
      <c r="G574" s="6">
        <v>4422.59</v>
      </c>
      <c r="H574" t="s">
        <v>30</v>
      </c>
      <c r="I574" s="7">
        <v>0.24</v>
      </c>
      <c r="J574" t="s">
        <v>18</v>
      </c>
      <c r="K574" t="s">
        <v>19</v>
      </c>
    </row>
    <row r="575" spans="1:13" x14ac:dyDescent="0.25">
      <c r="A575" s="1" t="s">
        <v>65</v>
      </c>
      <c r="B575" t="s">
        <v>38</v>
      </c>
      <c r="C575" t="s">
        <v>34</v>
      </c>
      <c r="D575" s="6">
        <f t="shared" si="8"/>
        <v>40031.667199999996</v>
      </c>
      <c r="E575" s="5">
        <v>32</v>
      </c>
      <c r="F575" t="s">
        <v>16</v>
      </c>
      <c r="G575" s="6">
        <v>1330.84</v>
      </c>
      <c r="H575" t="s">
        <v>17</v>
      </c>
      <c r="I575" s="7">
        <v>0.06</v>
      </c>
      <c r="J575" t="s">
        <v>18</v>
      </c>
      <c r="K575" t="s">
        <v>22</v>
      </c>
    </row>
    <row r="576" spans="1:13" x14ac:dyDescent="0.25">
      <c r="A576" s="1" t="s">
        <v>66</v>
      </c>
      <c r="B576" t="s">
        <v>24</v>
      </c>
      <c r="C576" t="s">
        <v>34</v>
      </c>
      <c r="D576" s="6">
        <f t="shared" si="8"/>
        <v>47652.696000000004</v>
      </c>
      <c r="E576" s="5">
        <v>30</v>
      </c>
      <c r="F576" t="s">
        <v>29</v>
      </c>
      <c r="G576" s="6">
        <v>1745.52</v>
      </c>
      <c r="H576" t="s">
        <v>30</v>
      </c>
      <c r="I576" s="7">
        <v>0.09</v>
      </c>
      <c r="J576" t="s">
        <v>18</v>
      </c>
      <c r="K576" t="s">
        <v>22</v>
      </c>
    </row>
    <row r="577" spans="1:11" x14ac:dyDescent="0.25">
      <c r="A577" s="1" t="s">
        <v>65</v>
      </c>
      <c r="B577" t="s">
        <v>42</v>
      </c>
      <c r="C577" t="s">
        <v>21</v>
      </c>
      <c r="D577" s="6">
        <f t="shared" si="8"/>
        <v>72745.789199999999</v>
      </c>
      <c r="E577" s="5">
        <v>21</v>
      </c>
      <c r="F577" t="s">
        <v>16</v>
      </c>
      <c r="G577" s="6">
        <v>3765.31</v>
      </c>
      <c r="H577" t="s">
        <v>30</v>
      </c>
      <c r="I577" s="7">
        <v>0.08</v>
      </c>
      <c r="J577" t="s">
        <v>18</v>
      </c>
      <c r="K577" t="s">
        <v>19</v>
      </c>
    </row>
    <row r="578" spans="1:11" x14ac:dyDescent="0.25">
      <c r="A578" s="1" t="s">
        <v>65</v>
      </c>
      <c r="B578" t="s">
        <v>14</v>
      </c>
      <c r="C578" t="s">
        <v>21</v>
      </c>
      <c r="D578" s="6">
        <f t="shared" ref="D578:D641" si="9">(Unit_Price*Qty_Sold)*(1-Discount)</f>
        <v>50147.341199999995</v>
      </c>
      <c r="E578" s="5">
        <v>17</v>
      </c>
      <c r="F578" t="s">
        <v>16</v>
      </c>
      <c r="G578" s="6">
        <v>2979.64</v>
      </c>
      <c r="H578" t="s">
        <v>17</v>
      </c>
      <c r="I578" s="7">
        <v>0.01</v>
      </c>
      <c r="J578" t="s">
        <v>18</v>
      </c>
      <c r="K578" t="s">
        <v>22</v>
      </c>
    </row>
    <row r="579" spans="1:11" x14ac:dyDescent="0.25">
      <c r="A579" s="1" t="s">
        <v>65</v>
      </c>
      <c r="B579" t="s">
        <v>14</v>
      </c>
      <c r="C579" t="s">
        <v>21</v>
      </c>
      <c r="D579" s="6">
        <f t="shared" si="9"/>
        <v>26966.652899999997</v>
      </c>
      <c r="E579" s="5">
        <v>33</v>
      </c>
      <c r="F579" t="s">
        <v>29</v>
      </c>
      <c r="G579" s="6">
        <v>918.17</v>
      </c>
      <c r="H579" t="s">
        <v>17</v>
      </c>
      <c r="I579" s="7">
        <v>0.11</v>
      </c>
      <c r="J579" t="s">
        <v>18</v>
      </c>
      <c r="K579" t="s">
        <v>19</v>
      </c>
    </row>
    <row r="580" spans="1:11" x14ac:dyDescent="0.25">
      <c r="A580" s="1" t="s">
        <v>65</v>
      </c>
      <c r="B580" t="s">
        <v>14</v>
      </c>
      <c r="C580" t="s">
        <v>25</v>
      </c>
      <c r="D580" s="6">
        <f t="shared" si="9"/>
        <v>5370.0555999999997</v>
      </c>
      <c r="E580" s="5">
        <v>4</v>
      </c>
      <c r="F580" t="s">
        <v>35</v>
      </c>
      <c r="G580" s="6">
        <v>1475.29</v>
      </c>
      <c r="H580" t="s">
        <v>17</v>
      </c>
      <c r="I580" s="7">
        <v>0.09</v>
      </c>
      <c r="J580" t="s">
        <v>27</v>
      </c>
      <c r="K580" t="s">
        <v>22</v>
      </c>
    </row>
    <row r="581" spans="1:11" x14ac:dyDescent="0.25">
      <c r="A581" s="1" t="s">
        <v>65</v>
      </c>
      <c r="B581" t="s">
        <v>14</v>
      </c>
      <c r="C581" t="s">
        <v>25</v>
      </c>
      <c r="D581" s="6">
        <f t="shared" si="9"/>
        <v>45190.628199999999</v>
      </c>
      <c r="E581" s="5">
        <v>31</v>
      </c>
      <c r="F581" t="s">
        <v>26</v>
      </c>
      <c r="G581" s="6">
        <v>1756.34</v>
      </c>
      <c r="H581" t="s">
        <v>17</v>
      </c>
      <c r="I581" s="7">
        <v>0.17</v>
      </c>
      <c r="J581" t="s">
        <v>18</v>
      </c>
      <c r="K581" t="s">
        <v>22</v>
      </c>
    </row>
    <row r="582" spans="1:11" x14ac:dyDescent="0.25">
      <c r="A582" s="1" t="s">
        <v>65</v>
      </c>
      <c r="B582" t="s">
        <v>42</v>
      </c>
      <c r="C582" t="s">
        <v>21</v>
      </c>
      <c r="D582" s="6">
        <f t="shared" si="9"/>
        <v>19156.371000000003</v>
      </c>
      <c r="E582" s="5">
        <v>5</v>
      </c>
      <c r="F582" t="s">
        <v>29</v>
      </c>
      <c r="G582" s="6">
        <v>4454.97</v>
      </c>
      <c r="H582" t="s">
        <v>30</v>
      </c>
      <c r="I582" s="7">
        <v>0.14000000000000001</v>
      </c>
      <c r="J582" t="s">
        <v>31</v>
      </c>
      <c r="K582" t="s">
        <v>22</v>
      </c>
    </row>
    <row r="583" spans="1:11" x14ac:dyDescent="0.25">
      <c r="A583" s="1" t="s">
        <v>65</v>
      </c>
      <c r="B583" t="s">
        <v>14</v>
      </c>
      <c r="C583" t="s">
        <v>21</v>
      </c>
      <c r="D583" s="6">
        <f t="shared" si="9"/>
        <v>75264.844199999992</v>
      </c>
      <c r="E583" s="5">
        <v>31</v>
      </c>
      <c r="F583" t="s">
        <v>29</v>
      </c>
      <c r="G583" s="6">
        <v>2668.02</v>
      </c>
      <c r="H583" t="s">
        <v>17</v>
      </c>
      <c r="I583" s="7">
        <v>0.09</v>
      </c>
      <c r="J583" t="s">
        <v>27</v>
      </c>
      <c r="K583" t="s">
        <v>22</v>
      </c>
    </row>
    <row r="584" spans="1:11" x14ac:dyDescent="0.25">
      <c r="A584" s="1" t="s">
        <v>65</v>
      </c>
      <c r="B584" t="s">
        <v>42</v>
      </c>
      <c r="C584" t="s">
        <v>21</v>
      </c>
      <c r="D584" s="6">
        <f t="shared" si="9"/>
        <v>55653.815699999992</v>
      </c>
      <c r="E584" s="5">
        <v>21</v>
      </c>
      <c r="F584" t="s">
        <v>29</v>
      </c>
      <c r="G584" s="6">
        <v>3192.99</v>
      </c>
      <c r="H584" t="s">
        <v>30</v>
      </c>
      <c r="I584" s="7">
        <v>0.17</v>
      </c>
      <c r="J584" t="s">
        <v>31</v>
      </c>
      <c r="K584" t="s">
        <v>19</v>
      </c>
    </row>
    <row r="585" spans="1:11" x14ac:dyDescent="0.25">
      <c r="A585" s="1" t="s">
        <v>65</v>
      </c>
      <c r="B585" t="s">
        <v>42</v>
      </c>
      <c r="C585" t="s">
        <v>15</v>
      </c>
      <c r="D585" s="6">
        <f t="shared" si="9"/>
        <v>97012.3128</v>
      </c>
      <c r="E585" s="5">
        <v>38</v>
      </c>
      <c r="F585" t="s">
        <v>29</v>
      </c>
      <c r="G585" s="6">
        <v>3449.94</v>
      </c>
      <c r="H585" t="s">
        <v>30</v>
      </c>
      <c r="I585" s="7">
        <v>0.26</v>
      </c>
      <c r="J585" t="s">
        <v>18</v>
      </c>
      <c r="K585" t="s">
        <v>19</v>
      </c>
    </row>
    <row r="586" spans="1:11" x14ac:dyDescent="0.25">
      <c r="A586" s="1" t="s">
        <v>65</v>
      </c>
      <c r="B586" t="s">
        <v>38</v>
      </c>
      <c r="C586" t="s">
        <v>25</v>
      </c>
      <c r="D586" s="6">
        <f t="shared" si="9"/>
        <v>151007.61599999998</v>
      </c>
      <c r="E586" s="5">
        <v>47</v>
      </c>
      <c r="F586" t="s">
        <v>26</v>
      </c>
      <c r="G586" s="6">
        <v>4462.3999999999996</v>
      </c>
      <c r="H586" t="s">
        <v>30</v>
      </c>
      <c r="I586" s="7">
        <v>0.28000000000000003</v>
      </c>
      <c r="J586" t="s">
        <v>31</v>
      </c>
      <c r="K586" t="s">
        <v>22</v>
      </c>
    </row>
    <row r="587" spans="1:11" x14ac:dyDescent="0.25">
      <c r="A587" s="1" t="s">
        <v>73</v>
      </c>
      <c r="B587" t="s">
        <v>24</v>
      </c>
      <c r="C587" t="s">
        <v>25</v>
      </c>
      <c r="D587" s="6">
        <f t="shared" si="9"/>
        <v>48895.633600000001</v>
      </c>
      <c r="E587" s="5">
        <v>44</v>
      </c>
      <c r="F587" t="s">
        <v>35</v>
      </c>
      <c r="G587" s="6">
        <v>1462.19</v>
      </c>
      <c r="H587" t="s">
        <v>30</v>
      </c>
      <c r="I587" s="7">
        <v>0.24</v>
      </c>
      <c r="J587" t="s">
        <v>27</v>
      </c>
      <c r="K587" t="s">
        <v>19</v>
      </c>
    </row>
    <row r="588" spans="1:11" x14ac:dyDescent="0.25">
      <c r="A588" s="1" t="s">
        <v>65</v>
      </c>
      <c r="B588" t="s">
        <v>14</v>
      </c>
      <c r="C588" t="s">
        <v>15</v>
      </c>
      <c r="D588" s="6">
        <f t="shared" si="9"/>
        <v>118177.40400000001</v>
      </c>
      <c r="E588" s="5">
        <v>30</v>
      </c>
      <c r="F588" t="s">
        <v>35</v>
      </c>
      <c r="G588" s="6">
        <v>4281.79</v>
      </c>
      <c r="H588" t="s">
        <v>17</v>
      </c>
      <c r="I588" s="7">
        <v>0.08</v>
      </c>
      <c r="J588" t="s">
        <v>27</v>
      </c>
      <c r="K588" t="s">
        <v>22</v>
      </c>
    </row>
    <row r="589" spans="1:11" x14ac:dyDescent="0.25">
      <c r="A589" s="1" t="s">
        <v>69</v>
      </c>
      <c r="B589" t="s">
        <v>24</v>
      </c>
      <c r="C589" t="s">
        <v>21</v>
      </c>
      <c r="D589" s="6">
        <f t="shared" si="9"/>
        <v>49903.394399999997</v>
      </c>
      <c r="E589" s="5">
        <v>18</v>
      </c>
      <c r="F589" t="s">
        <v>16</v>
      </c>
      <c r="G589" s="6">
        <v>3013.49</v>
      </c>
      <c r="H589" t="s">
        <v>17</v>
      </c>
      <c r="I589" s="7">
        <v>0.08</v>
      </c>
      <c r="J589" t="s">
        <v>27</v>
      </c>
      <c r="K589" t="s">
        <v>19</v>
      </c>
    </row>
    <row r="590" spans="1:11" x14ac:dyDescent="0.25">
      <c r="A590" s="1" t="s">
        <v>65</v>
      </c>
      <c r="B590" t="s">
        <v>14</v>
      </c>
      <c r="C590" t="s">
        <v>21</v>
      </c>
      <c r="D590" s="6">
        <f t="shared" si="9"/>
        <v>45613.26</v>
      </c>
      <c r="E590" s="5">
        <v>20</v>
      </c>
      <c r="F590" t="s">
        <v>26</v>
      </c>
      <c r="G590" s="6">
        <v>2303.6999999999998</v>
      </c>
      <c r="H590" t="s">
        <v>17</v>
      </c>
      <c r="I590" s="7">
        <v>0.01</v>
      </c>
      <c r="J590" t="s">
        <v>18</v>
      </c>
      <c r="K590" t="s">
        <v>22</v>
      </c>
    </row>
    <row r="591" spans="1:11" x14ac:dyDescent="0.25">
      <c r="A591" s="1" t="s">
        <v>65</v>
      </c>
      <c r="B591" t="s">
        <v>33</v>
      </c>
      <c r="C591" t="s">
        <v>15</v>
      </c>
      <c r="D591" s="6">
        <f t="shared" si="9"/>
        <v>65081.528399999879</v>
      </c>
      <c r="E591" s="5">
        <v>17</v>
      </c>
      <c r="F591" t="s">
        <v>35</v>
      </c>
      <c r="G591" s="6">
        <v>5037.2699999999904</v>
      </c>
      <c r="H591" t="s">
        <v>17</v>
      </c>
      <c r="I591" s="7">
        <v>0.24</v>
      </c>
      <c r="J591" t="s">
        <v>27</v>
      </c>
      <c r="K591" t="s">
        <v>22</v>
      </c>
    </row>
    <row r="592" spans="1:11" x14ac:dyDescent="0.25">
      <c r="A592" s="1" t="s">
        <v>65</v>
      </c>
      <c r="B592" t="s">
        <v>24</v>
      </c>
      <c r="C592" t="s">
        <v>34</v>
      </c>
      <c r="D592" s="6">
        <f t="shared" si="9"/>
        <v>50758.312499999811</v>
      </c>
      <c r="E592" s="5">
        <v>25</v>
      </c>
      <c r="F592" t="s">
        <v>26</v>
      </c>
      <c r="G592" s="6">
        <v>2707.1099999999901</v>
      </c>
      <c r="H592" t="s">
        <v>30</v>
      </c>
      <c r="I592" s="7">
        <v>0.25</v>
      </c>
      <c r="J592" t="s">
        <v>18</v>
      </c>
      <c r="K592" t="s">
        <v>22</v>
      </c>
    </row>
    <row r="593" spans="1:13" x14ac:dyDescent="0.25">
      <c r="A593" s="1" t="s">
        <v>65</v>
      </c>
      <c r="B593" t="s">
        <v>38</v>
      </c>
      <c r="C593" t="s">
        <v>34</v>
      </c>
      <c r="D593" s="6">
        <f t="shared" si="9"/>
        <v>53373.312000000005</v>
      </c>
      <c r="E593" s="5">
        <v>16</v>
      </c>
      <c r="F593" t="s">
        <v>16</v>
      </c>
      <c r="G593" s="6">
        <v>4633.1000000000004</v>
      </c>
      <c r="H593" t="s">
        <v>30</v>
      </c>
      <c r="I593" s="7">
        <v>0.28000000000000003</v>
      </c>
      <c r="J593" t="s">
        <v>31</v>
      </c>
      <c r="K593" t="s">
        <v>22</v>
      </c>
    </row>
    <row r="594" spans="1:13" x14ac:dyDescent="0.25">
      <c r="A594" s="1" t="s">
        <v>65</v>
      </c>
      <c r="B594" t="s">
        <v>38</v>
      </c>
      <c r="C594" t="s">
        <v>15</v>
      </c>
      <c r="D594" s="6">
        <f t="shared" si="9"/>
        <v>194638.9797</v>
      </c>
      <c r="E594" s="5">
        <v>43</v>
      </c>
      <c r="F594" t="s">
        <v>29</v>
      </c>
      <c r="G594" s="6">
        <v>4572.21</v>
      </c>
      <c r="H594" t="s">
        <v>30</v>
      </c>
      <c r="I594" s="7">
        <v>0.01</v>
      </c>
      <c r="J594" t="s">
        <v>18</v>
      </c>
      <c r="K594" t="s">
        <v>22</v>
      </c>
    </row>
    <row r="595" spans="1:13" x14ac:dyDescent="0.25">
      <c r="A595" s="1" t="s">
        <v>65</v>
      </c>
      <c r="B595" t="s">
        <v>24</v>
      </c>
      <c r="C595" t="s">
        <v>34</v>
      </c>
      <c r="D595" s="6">
        <f t="shared" si="9"/>
        <v>52839.670400000003</v>
      </c>
      <c r="E595" s="5">
        <v>29</v>
      </c>
      <c r="F595" t="s">
        <v>29</v>
      </c>
      <c r="G595" s="6">
        <v>2070.52</v>
      </c>
      <c r="H595" t="s">
        <v>30</v>
      </c>
      <c r="I595" s="7">
        <v>0.12</v>
      </c>
      <c r="J595" t="s">
        <v>18</v>
      </c>
      <c r="K595" t="s">
        <v>19</v>
      </c>
    </row>
    <row r="596" spans="1:13" x14ac:dyDescent="0.25">
      <c r="A596" s="1" t="s">
        <v>65</v>
      </c>
      <c r="B596" t="s">
        <v>38</v>
      </c>
      <c r="C596" t="s">
        <v>25</v>
      </c>
      <c r="D596" s="6">
        <f t="shared" si="9"/>
        <v>33671.591999999997</v>
      </c>
      <c r="E596" s="5">
        <v>30</v>
      </c>
      <c r="F596" t="s">
        <v>26</v>
      </c>
      <c r="G596" s="6">
        <v>1558.87</v>
      </c>
      <c r="H596" t="s">
        <v>17</v>
      </c>
      <c r="I596" s="7">
        <v>0.28000000000000003</v>
      </c>
      <c r="J596" t="s">
        <v>31</v>
      </c>
      <c r="K596" t="s">
        <v>19</v>
      </c>
    </row>
    <row r="597" spans="1:13" x14ac:dyDescent="0.25">
      <c r="A597" s="1" t="s">
        <v>71</v>
      </c>
      <c r="B597" t="s">
        <v>24</v>
      </c>
      <c r="C597" t="s">
        <v>15</v>
      </c>
      <c r="D597" s="6">
        <f t="shared" si="9"/>
        <v>52978.538199999879</v>
      </c>
      <c r="E597" s="5">
        <v>17</v>
      </c>
      <c r="F597" t="s">
        <v>16</v>
      </c>
      <c r="G597" s="6">
        <v>4269.0199999999904</v>
      </c>
      <c r="H597" t="s">
        <v>17</v>
      </c>
      <c r="I597" s="7">
        <v>0.27</v>
      </c>
      <c r="J597" t="s">
        <v>27</v>
      </c>
      <c r="K597" t="s">
        <v>22</v>
      </c>
    </row>
    <row r="598" spans="1:13" x14ac:dyDescent="0.25">
      <c r="A598" s="1" t="s">
        <v>65</v>
      </c>
      <c r="B598" t="s">
        <v>42</v>
      </c>
      <c r="C598" t="s">
        <v>21</v>
      </c>
      <c r="D598" s="6">
        <f t="shared" si="9"/>
        <v>19284.48</v>
      </c>
      <c r="E598" s="5">
        <v>40</v>
      </c>
      <c r="F598" t="s">
        <v>26</v>
      </c>
      <c r="G598" s="6">
        <v>595.20000000000005</v>
      </c>
      <c r="H598" t="s">
        <v>17</v>
      </c>
      <c r="I598" s="7">
        <v>0.19</v>
      </c>
      <c r="J598" t="s">
        <v>31</v>
      </c>
      <c r="K598" t="s">
        <v>19</v>
      </c>
    </row>
    <row r="599" spans="1:13" x14ac:dyDescent="0.25">
      <c r="A599" s="1" t="s">
        <v>65</v>
      </c>
      <c r="B599" t="s">
        <v>33</v>
      </c>
      <c r="C599" t="s">
        <v>15</v>
      </c>
      <c r="D599" s="6">
        <f t="shared" si="9"/>
        <v>24026.657399999996</v>
      </c>
      <c r="E599" s="5">
        <v>9</v>
      </c>
      <c r="F599" t="s">
        <v>35</v>
      </c>
      <c r="G599" s="6">
        <v>3216.42</v>
      </c>
      <c r="H599" t="s">
        <v>30</v>
      </c>
      <c r="I599" s="7">
        <v>0.17</v>
      </c>
      <c r="J599" t="s">
        <v>27</v>
      </c>
      <c r="K599" t="s">
        <v>19</v>
      </c>
    </row>
    <row r="600" spans="1:13" x14ac:dyDescent="0.25">
      <c r="A600" s="1" t="s">
        <v>67</v>
      </c>
      <c r="B600" t="s">
        <v>24</v>
      </c>
      <c r="C600" t="s">
        <v>25</v>
      </c>
      <c r="D600" s="6">
        <f t="shared" si="9"/>
        <v>53186.920399999995</v>
      </c>
      <c r="E600" s="5">
        <v>23</v>
      </c>
      <c r="F600" t="s">
        <v>16</v>
      </c>
      <c r="G600" s="6">
        <v>3042.73</v>
      </c>
      <c r="H600" t="s">
        <v>17</v>
      </c>
      <c r="I600" s="7">
        <v>0.24</v>
      </c>
      <c r="J600" t="s">
        <v>31</v>
      </c>
      <c r="K600" t="s">
        <v>19</v>
      </c>
      <c r="M600" s="10"/>
    </row>
    <row r="601" spans="1:13" x14ac:dyDescent="0.25">
      <c r="A601" s="1" t="s">
        <v>65</v>
      </c>
      <c r="B601" t="s">
        <v>14</v>
      </c>
      <c r="C601" t="s">
        <v>34</v>
      </c>
      <c r="D601" s="6">
        <f t="shared" si="9"/>
        <v>1820.1899999999998</v>
      </c>
      <c r="E601" s="5">
        <v>4</v>
      </c>
      <c r="F601" t="s">
        <v>35</v>
      </c>
      <c r="G601" s="6">
        <v>548.25</v>
      </c>
      <c r="H601" t="s">
        <v>30</v>
      </c>
      <c r="I601" s="7">
        <v>0.17</v>
      </c>
      <c r="J601" t="s">
        <v>31</v>
      </c>
      <c r="K601" t="s">
        <v>19</v>
      </c>
    </row>
    <row r="602" spans="1:13" x14ac:dyDescent="0.25">
      <c r="A602" s="1" t="s">
        <v>62</v>
      </c>
      <c r="B602" t="s">
        <v>24</v>
      </c>
      <c r="C602" t="s">
        <v>21</v>
      </c>
      <c r="D602" s="6">
        <f t="shared" si="9"/>
        <v>53279.87</v>
      </c>
      <c r="E602" s="5">
        <v>34</v>
      </c>
      <c r="F602" t="s">
        <v>16</v>
      </c>
      <c r="G602" s="6">
        <v>2238.65</v>
      </c>
      <c r="H602" t="s">
        <v>30</v>
      </c>
      <c r="I602" s="7">
        <v>0.3</v>
      </c>
      <c r="J602" t="s">
        <v>31</v>
      </c>
      <c r="K602" t="s">
        <v>19</v>
      </c>
    </row>
    <row r="603" spans="1:13" x14ac:dyDescent="0.25">
      <c r="A603" s="1" t="s">
        <v>65</v>
      </c>
      <c r="B603" t="s">
        <v>42</v>
      </c>
      <c r="C603" t="s">
        <v>34</v>
      </c>
      <c r="D603" s="6">
        <f t="shared" si="9"/>
        <v>6009.5252</v>
      </c>
      <c r="E603" s="5">
        <v>19</v>
      </c>
      <c r="F603" t="s">
        <v>29</v>
      </c>
      <c r="G603" s="6">
        <v>445.48</v>
      </c>
      <c r="H603" t="s">
        <v>30</v>
      </c>
      <c r="I603" s="7">
        <v>0.28999999999999998</v>
      </c>
      <c r="J603" t="s">
        <v>27</v>
      </c>
      <c r="K603" t="s">
        <v>22</v>
      </c>
    </row>
    <row r="604" spans="1:13" x14ac:dyDescent="0.25">
      <c r="A604" s="1" t="s">
        <v>65</v>
      </c>
      <c r="B604" t="s">
        <v>14</v>
      </c>
      <c r="C604" t="s">
        <v>15</v>
      </c>
      <c r="D604" s="6">
        <f t="shared" si="9"/>
        <v>90890.926199999813</v>
      </c>
      <c r="E604" s="5">
        <v>23</v>
      </c>
      <c r="F604" t="s">
        <v>35</v>
      </c>
      <c r="G604" s="6">
        <v>4761.1799999999903</v>
      </c>
      <c r="H604" t="s">
        <v>17</v>
      </c>
      <c r="I604" s="7">
        <v>0.17</v>
      </c>
      <c r="J604" t="s">
        <v>31</v>
      </c>
      <c r="K604" t="s">
        <v>22</v>
      </c>
    </row>
    <row r="605" spans="1:13" x14ac:dyDescent="0.25">
      <c r="A605" s="1" t="s">
        <v>65</v>
      </c>
      <c r="B605" t="s">
        <v>14</v>
      </c>
      <c r="C605" t="s">
        <v>15</v>
      </c>
      <c r="D605" s="6">
        <f t="shared" si="9"/>
        <v>101197.95</v>
      </c>
      <c r="E605" s="5">
        <v>21</v>
      </c>
      <c r="F605" t="s">
        <v>26</v>
      </c>
      <c r="G605" s="6">
        <v>4818.95</v>
      </c>
      <c r="H605" t="s">
        <v>30</v>
      </c>
      <c r="I605" s="7">
        <v>0</v>
      </c>
      <c r="J605" t="s">
        <v>31</v>
      </c>
      <c r="K605" t="s">
        <v>22</v>
      </c>
    </row>
    <row r="606" spans="1:13" x14ac:dyDescent="0.25">
      <c r="A606" s="1" t="s">
        <v>65</v>
      </c>
      <c r="B606" t="s">
        <v>42</v>
      </c>
      <c r="C606" t="s">
        <v>25</v>
      </c>
      <c r="D606" s="6">
        <f t="shared" si="9"/>
        <v>28488.894</v>
      </c>
      <c r="E606" s="5">
        <v>21</v>
      </c>
      <c r="F606" t="s">
        <v>26</v>
      </c>
      <c r="G606" s="6">
        <v>1384.3</v>
      </c>
      <c r="H606" t="s">
        <v>17</v>
      </c>
      <c r="I606" s="7">
        <v>0.02</v>
      </c>
      <c r="J606" t="s">
        <v>31</v>
      </c>
      <c r="K606" t="s">
        <v>22</v>
      </c>
    </row>
    <row r="607" spans="1:13" x14ac:dyDescent="0.25">
      <c r="A607" s="1" t="s">
        <v>65</v>
      </c>
      <c r="B607" t="s">
        <v>33</v>
      </c>
      <c r="C607" t="s">
        <v>15</v>
      </c>
      <c r="D607" s="6">
        <f t="shared" si="9"/>
        <v>62620.576199999996</v>
      </c>
      <c r="E607" s="5">
        <v>18</v>
      </c>
      <c r="F607" t="s">
        <v>26</v>
      </c>
      <c r="G607" s="6">
        <v>3822.99</v>
      </c>
      <c r="H607" t="s">
        <v>17</v>
      </c>
      <c r="I607" s="7">
        <v>0.09</v>
      </c>
      <c r="J607" t="s">
        <v>31</v>
      </c>
      <c r="K607" t="s">
        <v>19</v>
      </c>
    </row>
    <row r="608" spans="1:13" x14ac:dyDescent="0.25">
      <c r="A608" s="1" t="s">
        <v>65</v>
      </c>
      <c r="B608" t="s">
        <v>42</v>
      </c>
      <c r="C608" t="s">
        <v>34</v>
      </c>
      <c r="D608" s="6">
        <f t="shared" si="9"/>
        <v>36950.667000000001</v>
      </c>
      <c r="E608" s="5">
        <v>26</v>
      </c>
      <c r="F608" t="s">
        <v>26</v>
      </c>
      <c r="G608" s="6">
        <v>1528.15</v>
      </c>
      <c r="H608" t="s">
        <v>30</v>
      </c>
      <c r="I608" s="7">
        <v>7.0000000000000007E-2</v>
      </c>
      <c r="J608" t="s">
        <v>31</v>
      </c>
      <c r="K608" t="s">
        <v>22</v>
      </c>
    </row>
    <row r="609" spans="1:11" x14ac:dyDescent="0.25">
      <c r="A609" s="1" t="s">
        <v>65</v>
      </c>
      <c r="B609" t="s">
        <v>14</v>
      </c>
      <c r="C609" t="s">
        <v>15</v>
      </c>
      <c r="D609" s="6">
        <f t="shared" si="9"/>
        <v>6586.6944000000003</v>
      </c>
      <c r="E609" s="5">
        <v>4</v>
      </c>
      <c r="F609" t="s">
        <v>26</v>
      </c>
      <c r="G609" s="6">
        <v>1871.22</v>
      </c>
      <c r="H609" t="s">
        <v>17</v>
      </c>
      <c r="I609" s="7">
        <v>0.12</v>
      </c>
      <c r="J609" t="s">
        <v>27</v>
      </c>
      <c r="K609" t="s">
        <v>19</v>
      </c>
    </row>
    <row r="610" spans="1:11" x14ac:dyDescent="0.25">
      <c r="A610" s="1" t="s">
        <v>65</v>
      </c>
      <c r="B610" t="s">
        <v>38</v>
      </c>
      <c r="C610" t="s">
        <v>21</v>
      </c>
      <c r="D610" s="6">
        <f t="shared" si="9"/>
        <v>3927.8231999999948</v>
      </c>
      <c r="E610" s="5">
        <v>7</v>
      </c>
      <c r="F610" t="s">
        <v>26</v>
      </c>
      <c r="G610" s="6">
        <v>779.32999999999902</v>
      </c>
      <c r="H610" t="s">
        <v>17</v>
      </c>
      <c r="I610" s="7">
        <v>0.28000000000000003</v>
      </c>
      <c r="J610" t="s">
        <v>31</v>
      </c>
      <c r="K610" t="s">
        <v>19</v>
      </c>
    </row>
    <row r="611" spans="1:11" x14ac:dyDescent="0.25">
      <c r="A611" s="1" t="s">
        <v>65</v>
      </c>
      <c r="B611" t="s">
        <v>38</v>
      </c>
      <c r="C611" t="s">
        <v>25</v>
      </c>
      <c r="D611" s="6">
        <f t="shared" si="9"/>
        <v>191801.24720000004</v>
      </c>
      <c r="E611" s="5">
        <v>47</v>
      </c>
      <c r="F611" t="s">
        <v>29</v>
      </c>
      <c r="G611" s="6">
        <v>4976.68</v>
      </c>
      <c r="H611" t="s">
        <v>17</v>
      </c>
      <c r="I611" s="7">
        <v>0.18</v>
      </c>
      <c r="J611" t="s">
        <v>31</v>
      </c>
      <c r="K611" t="s">
        <v>22</v>
      </c>
    </row>
    <row r="612" spans="1:11" x14ac:dyDescent="0.25">
      <c r="A612" s="1" t="s">
        <v>65</v>
      </c>
      <c r="B612" t="s">
        <v>42</v>
      </c>
      <c r="C612" t="s">
        <v>21</v>
      </c>
      <c r="D612" s="6">
        <f t="shared" si="9"/>
        <v>61469.668799999999</v>
      </c>
      <c r="E612" s="5">
        <v>16</v>
      </c>
      <c r="F612" t="s">
        <v>16</v>
      </c>
      <c r="G612" s="6">
        <v>4743.03</v>
      </c>
      <c r="H612" t="s">
        <v>17</v>
      </c>
      <c r="I612" s="7">
        <v>0.19</v>
      </c>
      <c r="J612" t="s">
        <v>18</v>
      </c>
      <c r="K612" t="s">
        <v>19</v>
      </c>
    </row>
    <row r="613" spans="1:11" x14ac:dyDescent="0.25">
      <c r="A613" s="1" t="s">
        <v>65</v>
      </c>
      <c r="B613" t="s">
        <v>42</v>
      </c>
      <c r="C613" t="s">
        <v>25</v>
      </c>
      <c r="D613" s="6">
        <f t="shared" si="9"/>
        <v>49056.153600000005</v>
      </c>
      <c r="E613" s="5">
        <v>16</v>
      </c>
      <c r="F613" t="s">
        <v>16</v>
      </c>
      <c r="G613" s="6">
        <v>3193.76</v>
      </c>
      <c r="H613" t="s">
        <v>17</v>
      </c>
      <c r="I613" s="7">
        <v>0.04</v>
      </c>
      <c r="J613" t="s">
        <v>31</v>
      </c>
      <c r="K613" t="s">
        <v>19</v>
      </c>
    </row>
    <row r="614" spans="1:11" x14ac:dyDescent="0.25">
      <c r="A614" s="1" t="s">
        <v>65</v>
      </c>
      <c r="B614" t="s">
        <v>24</v>
      </c>
      <c r="C614" t="s">
        <v>21</v>
      </c>
      <c r="D614" s="6">
        <f t="shared" si="9"/>
        <v>53459.549999999996</v>
      </c>
      <c r="E614" s="5">
        <v>20</v>
      </c>
      <c r="F614" t="s">
        <v>26</v>
      </c>
      <c r="G614" s="6">
        <v>3563.97</v>
      </c>
      <c r="H614" t="s">
        <v>17</v>
      </c>
      <c r="I614" s="7">
        <v>0.25</v>
      </c>
      <c r="J614" t="s">
        <v>18</v>
      </c>
      <c r="K614" t="s">
        <v>22</v>
      </c>
    </row>
    <row r="615" spans="1:11" x14ac:dyDescent="0.25">
      <c r="A615" s="1" t="s">
        <v>65</v>
      </c>
      <c r="B615" t="s">
        <v>42</v>
      </c>
      <c r="C615" t="s">
        <v>25</v>
      </c>
      <c r="D615" s="6">
        <f t="shared" si="9"/>
        <v>15049.762000000001</v>
      </c>
      <c r="E615" s="5">
        <v>4</v>
      </c>
      <c r="F615" t="s">
        <v>16</v>
      </c>
      <c r="G615" s="6">
        <v>4134.55</v>
      </c>
      <c r="H615" t="s">
        <v>17</v>
      </c>
      <c r="I615" s="7">
        <v>0.09</v>
      </c>
      <c r="J615" t="s">
        <v>27</v>
      </c>
      <c r="K615" t="s">
        <v>22</v>
      </c>
    </row>
    <row r="616" spans="1:11" x14ac:dyDescent="0.25">
      <c r="A616" s="1" t="s">
        <v>72</v>
      </c>
      <c r="B616" t="s">
        <v>24</v>
      </c>
      <c r="C616" t="s">
        <v>34</v>
      </c>
      <c r="D616" s="6">
        <f t="shared" si="9"/>
        <v>54214.042800000003</v>
      </c>
      <c r="E616" s="5">
        <v>37</v>
      </c>
      <c r="F616" t="s">
        <v>16</v>
      </c>
      <c r="G616" s="6">
        <v>1980.06</v>
      </c>
      <c r="H616" t="s">
        <v>30</v>
      </c>
      <c r="I616" s="7">
        <v>0.26</v>
      </c>
      <c r="J616" t="s">
        <v>18</v>
      </c>
      <c r="K616" t="s">
        <v>19</v>
      </c>
    </row>
    <row r="617" spans="1:11" x14ac:dyDescent="0.25">
      <c r="A617" s="1" t="s">
        <v>65</v>
      </c>
      <c r="B617" t="s">
        <v>33</v>
      </c>
      <c r="C617" t="s">
        <v>21</v>
      </c>
      <c r="D617" s="6">
        <f t="shared" si="9"/>
        <v>49322.716800000002</v>
      </c>
      <c r="E617" s="5">
        <v>42</v>
      </c>
      <c r="F617" t="s">
        <v>29</v>
      </c>
      <c r="G617" s="6">
        <v>1414.88</v>
      </c>
      <c r="H617" t="s">
        <v>30</v>
      </c>
      <c r="I617" s="7">
        <v>0.17</v>
      </c>
      <c r="J617" t="s">
        <v>27</v>
      </c>
      <c r="K617" t="s">
        <v>19</v>
      </c>
    </row>
    <row r="618" spans="1:11" x14ac:dyDescent="0.25">
      <c r="A618" s="1" t="s">
        <v>65</v>
      </c>
      <c r="B618" t="s">
        <v>38</v>
      </c>
      <c r="C618" t="s">
        <v>15</v>
      </c>
      <c r="D618" s="6">
        <f t="shared" si="9"/>
        <v>16641.68</v>
      </c>
      <c r="E618" s="5">
        <v>4</v>
      </c>
      <c r="F618" t="s">
        <v>16</v>
      </c>
      <c r="G618" s="6">
        <v>4727.75</v>
      </c>
      <c r="H618" t="s">
        <v>17</v>
      </c>
      <c r="I618" s="7">
        <v>0.12</v>
      </c>
      <c r="J618" t="s">
        <v>31</v>
      </c>
      <c r="K618" t="s">
        <v>22</v>
      </c>
    </row>
    <row r="619" spans="1:11" x14ac:dyDescent="0.25">
      <c r="A619" s="1" t="s">
        <v>65</v>
      </c>
      <c r="B619" t="s">
        <v>38</v>
      </c>
      <c r="C619" t="s">
        <v>15</v>
      </c>
      <c r="D619" s="6">
        <f t="shared" si="9"/>
        <v>7995.1392000000005</v>
      </c>
      <c r="E619" s="5">
        <v>19</v>
      </c>
      <c r="F619" t="s">
        <v>29</v>
      </c>
      <c r="G619" s="6">
        <v>584.44000000000005</v>
      </c>
      <c r="H619" t="s">
        <v>17</v>
      </c>
      <c r="I619" s="7">
        <v>0.28000000000000003</v>
      </c>
      <c r="J619" t="s">
        <v>18</v>
      </c>
      <c r="K619" t="s">
        <v>22</v>
      </c>
    </row>
    <row r="620" spans="1:11" x14ac:dyDescent="0.25">
      <c r="A620" s="1" t="s">
        <v>65</v>
      </c>
      <c r="B620" t="s">
        <v>42</v>
      </c>
      <c r="C620" t="s">
        <v>34</v>
      </c>
      <c r="D620" s="6">
        <f t="shared" si="9"/>
        <v>93620.334600000002</v>
      </c>
      <c r="E620" s="5">
        <v>26</v>
      </c>
      <c r="F620" t="s">
        <v>29</v>
      </c>
      <c r="G620" s="6">
        <v>4138.83</v>
      </c>
      <c r="H620" t="s">
        <v>30</v>
      </c>
      <c r="I620" s="7">
        <v>0.13</v>
      </c>
      <c r="J620" t="s">
        <v>31</v>
      </c>
      <c r="K620" t="s">
        <v>19</v>
      </c>
    </row>
    <row r="621" spans="1:11" x14ac:dyDescent="0.25">
      <c r="A621" s="1" t="s">
        <v>65</v>
      </c>
      <c r="B621" t="s">
        <v>38</v>
      </c>
      <c r="C621" t="s">
        <v>15</v>
      </c>
      <c r="D621" s="6">
        <f t="shared" si="9"/>
        <v>55557.835200000001</v>
      </c>
      <c r="E621" s="5">
        <v>28</v>
      </c>
      <c r="F621" t="s">
        <v>16</v>
      </c>
      <c r="G621" s="6">
        <v>2449.64</v>
      </c>
      <c r="H621" t="s">
        <v>30</v>
      </c>
      <c r="I621" s="7">
        <v>0.19</v>
      </c>
      <c r="J621" t="s">
        <v>31</v>
      </c>
      <c r="K621" t="s">
        <v>19</v>
      </c>
    </row>
    <row r="622" spans="1:11" x14ac:dyDescent="0.25">
      <c r="A622" s="1" t="s">
        <v>65</v>
      </c>
      <c r="B622" t="s">
        <v>38</v>
      </c>
      <c r="C622" t="s">
        <v>21</v>
      </c>
      <c r="D622" s="6">
        <f t="shared" si="9"/>
        <v>99752.688000000009</v>
      </c>
      <c r="E622" s="5">
        <v>42</v>
      </c>
      <c r="F622" t="s">
        <v>29</v>
      </c>
      <c r="G622" s="6">
        <v>2638.96</v>
      </c>
      <c r="H622" t="s">
        <v>30</v>
      </c>
      <c r="I622" s="7">
        <v>0.1</v>
      </c>
      <c r="J622" t="s">
        <v>27</v>
      </c>
      <c r="K622" t="s">
        <v>19</v>
      </c>
    </row>
    <row r="623" spans="1:11" x14ac:dyDescent="0.25">
      <c r="A623" s="1" t="s">
        <v>65</v>
      </c>
      <c r="B623" t="s">
        <v>14</v>
      </c>
      <c r="C623" t="s">
        <v>15</v>
      </c>
      <c r="D623" s="6">
        <f t="shared" si="9"/>
        <v>10030.165199999999</v>
      </c>
      <c r="E623" s="5">
        <v>4</v>
      </c>
      <c r="F623" t="s">
        <v>35</v>
      </c>
      <c r="G623" s="6">
        <v>2532.87</v>
      </c>
      <c r="H623" t="s">
        <v>30</v>
      </c>
      <c r="I623" s="7">
        <v>0.01</v>
      </c>
      <c r="J623" t="s">
        <v>31</v>
      </c>
      <c r="K623" t="s">
        <v>19</v>
      </c>
    </row>
    <row r="624" spans="1:11" x14ac:dyDescent="0.25">
      <c r="A624" s="1" t="s">
        <v>65</v>
      </c>
      <c r="B624" t="s">
        <v>42</v>
      </c>
      <c r="C624" t="s">
        <v>21</v>
      </c>
      <c r="D624" s="6">
        <f t="shared" si="9"/>
        <v>200811.5208</v>
      </c>
      <c r="E624" s="5">
        <v>44</v>
      </c>
      <c r="F624" t="s">
        <v>29</v>
      </c>
      <c r="G624" s="6">
        <v>5245.86</v>
      </c>
      <c r="H624" t="s">
        <v>17</v>
      </c>
      <c r="I624" s="7">
        <v>0.13</v>
      </c>
      <c r="J624" t="s">
        <v>27</v>
      </c>
      <c r="K624" t="s">
        <v>22</v>
      </c>
    </row>
    <row r="625" spans="1:11" x14ac:dyDescent="0.25">
      <c r="A625" s="1" t="s">
        <v>63</v>
      </c>
      <c r="B625" t="s">
        <v>24</v>
      </c>
      <c r="C625" t="s">
        <v>15</v>
      </c>
      <c r="D625" s="6">
        <f t="shared" si="9"/>
        <v>54948.144999999997</v>
      </c>
      <c r="E625" s="5">
        <v>35</v>
      </c>
      <c r="F625" t="s">
        <v>16</v>
      </c>
      <c r="G625" s="6">
        <v>2121.5500000000002</v>
      </c>
      <c r="H625" t="s">
        <v>17</v>
      </c>
      <c r="I625" s="7">
        <v>0.26</v>
      </c>
      <c r="J625" t="s">
        <v>18</v>
      </c>
      <c r="K625" t="s">
        <v>22</v>
      </c>
    </row>
    <row r="626" spans="1:11" x14ac:dyDescent="0.25">
      <c r="A626" s="1" t="s">
        <v>65</v>
      </c>
      <c r="B626" t="s">
        <v>38</v>
      </c>
      <c r="C626" t="s">
        <v>25</v>
      </c>
      <c r="D626" s="6">
        <f t="shared" si="9"/>
        <v>27488.348999999998</v>
      </c>
      <c r="E626" s="5">
        <v>27</v>
      </c>
      <c r="F626" t="s">
        <v>29</v>
      </c>
      <c r="G626" s="6">
        <v>1454.41</v>
      </c>
      <c r="H626" t="s">
        <v>17</v>
      </c>
      <c r="I626" s="7">
        <v>0.3</v>
      </c>
      <c r="J626" t="s">
        <v>27</v>
      </c>
      <c r="K626" t="s">
        <v>19</v>
      </c>
    </row>
    <row r="627" spans="1:11" x14ac:dyDescent="0.25">
      <c r="A627" s="1" t="s">
        <v>71</v>
      </c>
      <c r="B627" t="s">
        <v>24</v>
      </c>
      <c r="C627" t="s">
        <v>21</v>
      </c>
      <c r="D627" s="6">
        <f t="shared" si="9"/>
        <v>55321.316399999996</v>
      </c>
      <c r="E627" s="5">
        <v>28</v>
      </c>
      <c r="F627" t="s">
        <v>35</v>
      </c>
      <c r="G627" s="6">
        <v>2270.9899999999998</v>
      </c>
      <c r="H627" t="s">
        <v>30</v>
      </c>
      <c r="I627" s="7">
        <v>0.13</v>
      </c>
      <c r="J627" t="s">
        <v>31</v>
      </c>
      <c r="K627" t="s">
        <v>22</v>
      </c>
    </row>
    <row r="628" spans="1:11" x14ac:dyDescent="0.25">
      <c r="A628" s="1" t="s">
        <v>65</v>
      </c>
      <c r="B628" t="s">
        <v>33</v>
      </c>
      <c r="C628" t="s">
        <v>15</v>
      </c>
      <c r="D628" s="6">
        <f t="shared" si="9"/>
        <v>53365.569599999799</v>
      </c>
      <c r="E628" s="5">
        <v>28</v>
      </c>
      <c r="F628" t="s">
        <v>29</v>
      </c>
      <c r="G628" s="6">
        <v>2610.8399999999901</v>
      </c>
      <c r="H628" t="s">
        <v>17</v>
      </c>
      <c r="I628" s="7">
        <v>0.27</v>
      </c>
      <c r="J628" t="s">
        <v>27</v>
      </c>
      <c r="K628" t="s">
        <v>22</v>
      </c>
    </row>
    <row r="629" spans="1:11" x14ac:dyDescent="0.25">
      <c r="A629" s="1" t="s">
        <v>65</v>
      </c>
      <c r="B629" t="s">
        <v>42</v>
      </c>
      <c r="C629" t="s">
        <v>25</v>
      </c>
      <c r="D629" s="6">
        <f t="shared" si="9"/>
        <v>20812.707999999999</v>
      </c>
      <c r="E629" s="5">
        <v>20</v>
      </c>
      <c r="F629" t="s">
        <v>35</v>
      </c>
      <c r="G629" s="6">
        <v>1072.82</v>
      </c>
      <c r="H629" t="s">
        <v>30</v>
      </c>
      <c r="I629" s="7">
        <v>0.03</v>
      </c>
      <c r="J629" t="s">
        <v>27</v>
      </c>
      <c r="K629" t="s">
        <v>22</v>
      </c>
    </row>
    <row r="630" spans="1:11" x14ac:dyDescent="0.25">
      <c r="A630" s="1" t="s">
        <v>65</v>
      </c>
      <c r="B630" t="s">
        <v>14</v>
      </c>
      <c r="C630" t="s">
        <v>21</v>
      </c>
      <c r="D630" s="6">
        <f t="shared" si="9"/>
        <v>118725.49259999998</v>
      </c>
      <c r="E630" s="5">
        <v>26</v>
      </c>
      <c r="F630" t="s">
        <v>29</v>
      </c>
      <c r="G630" s="6">
        <v>4612.49</v>
      </c>
      <c r="H630" t="s">
        <v>17</v>
      </c>
      <c r="I630" s="7">
        <v>0.01</v>
      </c>
      <c r="J630" t="s">
        <v>18</v>
      </c>
      <c r="K630" t="s">
        <v>22</v>
      </c>
    </row>
    <row r="631" spans="1:11" x14ac:dyDescent="0.25">
      <c r="A631" s="1" t="s">
        <v>65</v>
      </c>
      <c r="B631" t="s">
        <v>14</v>
      </c>
      <c r="C631" t="s">
        <v>34</v>
      </c>
      <c r="D631" s="6">
        <f t="shared" si="9"/>
        <v>4911.3735999999999</v>
      </c>
      <c r="E631" s="5">
        <v>2</v>
      </c>
      <c r="F631" t="s">
        <v>26</v>
      </c>
      <c r="G631" s="6">
        <v>2994.74</v>
      </c>
      <c r="H631" t="s">
        <v>17</v>
      </c>
      <c r="I631" s="7">
        <v>0.18</v>
      </c>
      <c r="J631" t="s">
        <v>27</v>
      </c>
      <c r="K631" t="s">
        <v>19</v>
      </c>
    </row>
    <row r="632" spans="1:11" x14ac:dyDescent="0.25">
      <c r="A632" s="1" t="s">
        <v>65</v>
      </c>
      <c r="B632" t="s">
        <v>33</v>
      </c>
      <c r="C632" t="s">
        <v>25</v>
      </c>
      <c r="D632" s="6">
        <f t="shared" si="9"/>
        <v>17984.032799999997</v>
      </c>
      <c r="E632" s="5">
        <v>12</v>
      </c>
      <c r="F632" t="s">
        <v>26</v>
      </c>
      <c r="G632" s="6">
        <v>1545.02</v>
      </c>
      <c r="H632" t="s">
        <v>30</v>
      </c>
      <c r="I632" s="7">
        <v>0.03</v>
      </c>
      <c r="J632" t="s">
        <v>27</v>
      </c>
      <c r="K632" t="s">
        <v>22</v>
      </c>
    </row>
    <row r="633" spans="1:11" x14ac:dyDescent="0.25">
      <c r="A633" s="1" t="s">
        <v>72</v>
      </c>
      <c r="B633" t="s">
        <v>24</v>
      </c>
      <c r="C633" t="s">
        <v>15</v>
      </c>
      <c r="D633" s="6">
        <f t="shared" si="9"/>
        <v>56005.536599999999</v>
      </c>
      <c r="E633" s="5">
        <v>29</v>
      </c>
      <c r="F633" t="s">
        <v>29</v>
      </c>
      <c r="G633" s="6">
        <v>2475.9299999999998</v>
      </c>
      <c r="H633" t="s">
        <v>17</v>
      </c>
      <c r="I633" s="7">
        <v>0.22</v>
      </c>
      <c r="J633" t="s">
        <v>27</v>
      </c>
      <c r="K633" t="s">
        <v>19</v>
      </c>
    </row>
    <row r="634" spans="1:11" x14ac:dyDescent="0.25">
      <c r="A634" s="1" t="s">
        <v>70</v>
      </c>
      <c r="B634" t="s">
        <v>24</v>
      </c>
      <c r="C634" t="s">
        <v>21</v>
      </c>
      <c r="D634" s="6">
        <f t="shared" si="9"/>
        <v>56588.601999999999</v>
      </c>
      <c r="E634" s="5">
        <v>43</v>
      </c>
      <c r="F634" t="s">
        <v>16</v>
      </c>
      <c r="G634" s="6">
        <v>1430.45</v>
      </c>
      <c r="H634" t="s">
        <v>30</v>
      </c>
      <c r="I634" s="7">
        <v>0.08</v>
      </c>
      <c r="J634" t="s">
        <v>27</v>
      </c>
      <c r="K634" t="s">
        <v>22</v>
      </c>
    </row>
    <row r="635" spans="1:11" x14ac:dyDescent="0.25">
      <c r="A635" s="1" t="s">
        <v>68</v>
      </c>
      <c r="B635" t="s">
        <v>24</v>
      </c>
      <c r="C635" t="s">
        <v>25</v>
      </c>
      <c r="D635" s="6">
        <f t="shared" si="9"/>
        <v>57609.26</v>
      </c>
      <c r="E635" s="5">
        <v>34</v>
      </c>
      <c r="F635" t="s">
        <v>16</v>
      </c>
      <c r="G635" s="6">
        <v>1993.4</v>
      </c>
      <c r="H635" t="s">
        <v>17</v>
      </c>
      <c r="I635" s="7">
        <v>0.15</v>
      </c>
      <c r="J635" t="s">
        <v>31</v>
      </c>
      <c r="K635" t="s">
        <v>19</v>
      </c>
    </row>
    <row r="636" spans="1:11" x14ac:dyDescent="0.25">
      <c r="A636" s="1" t="s">
        <v>65</v>
      </c>
      <c r="B636" t="s">
        <v>42</v>
      </c>
      <c r="C636" t="s">
        <v>21</v>
      </c>
      <c r="D636" s="6">
        <f t="shared" si="9"/>
        <v>10201.9944</v>
      </c>
      <c r="E636" s="5">
        <v>12</v>
      </c>
      <c r="F636" t="s">
        <v>29</v>
      </c>
      <c r="G636" s="6">
        <v>876.46</v>
      </c>
      <c r="H636" t="s">
        <v>17</v>
      </c>
      <c r="I636" s="7">
        <v>0.03</v>
      </c>
      <c r="J636" t="s">
        <v>31</v>
      </c>
      <c r="K636" t="s">
        <v>19</v>
      </c>
    </row>
    <row r="637" spans="1:11" x14ac:dyDescent="0.25">
      <c r="A637" s="1" t="s">
        <v>65</v>
      </c>
      <c r="B637" t="s">
        <v>33</v>
      </c>
      <c r="C637" t="s">
        <v>21</v>
      </c>
      <c r="D637" s="6">
        <f t="shared" si="9"/>
        <v>179487</v>
      </c>
      <c r="E637" s="5">
        <v>45</v>
      </c>
      <c r="F637" t="s">
        <v>29</v>
      </c>
      <c r="G637" s="6">
        <v>4985.75</v>
      </c>
      <c r="H637" t="s">
        <v>17</v>
      </c>
      <c r="I637" s="7">
        <v>0.2</v>
      </c>
      <c r="J637" t="s">
        <v>27</v>
      </c>
      <c r="K637" t="s">
        <v>19</v>
      </c>
    </row>
    <row r="638" spans="1:11" x14ac:dyDescent="0.25">
      <c r="A638" s="1" t="s">
        <v>64</v>
      </c>
      <c r="B638" t="s">
        <v>24</v>
      </c>
      <c r="C638" t="s">
        <v>21</v>
      </c>
      <c r="D638" s="6">
        <f t="shared" si="9"/>
        <v>57706.095100000006</v>
      </c>
      <c r="E638" s="5">
        <v>19</v>
      </c>
      <c r="F638" t="s">
        <v>35</v>
      </c>
      <c r="G638" s="6">
        <v>3844.51</v>
      </c>
      <c r="H638" t="s">
        <v>30</v>
      </c>
      <c r="I638" s="7">
        <v>0.21</v>
      </c>
      <c r="J638" t="s">
        <v>31</v>
      </c>
      <c r="K638" t="s">
        <v>19</v>
      </c>
    </row>
    <row r="639" spans="1:11" x14ac:dyDescent="0.25">
      <c r="A639" s="1" t="s">
        <v>65</v>
      </c>
      <c r="B639" t="s">
        <v>33</v>
      </c>
      <c r="C639" t="s">
        <v>25</v>
      </c>
      <c r="D639" s="6">
        <f t="shared" si="9"/>
        <v>150225.57440000001</v>
      </c>
      <c r="E639" s="5">
        <v>41</v>
      </c>
      <c r="F639" t="s">
        <v>29</v>
      </c>
      <c r="G639" s="6">
        <v>4163.68</v>
      </c>
      <c r="H639" t="s">
        <v>30</v>
      </c>
      <c r="I639" s="7">
        <v>0.12</v>
      </c>
      <c r="J639" t="s">
        <v>27</v>
      </c>
      <c r="K639" t="s">
        <v>22</v>
      </c>
    </row>
    <row r="640" spans="1:11" x14ac:dyDescent="0.25">
      <c r="A640" s="1" t="s">
        <v>65</v>
      </c>
      <c r="B640" t="s">
        <v>14</v>
      </c>
      <c r="C640" t="s">
        <v>25</v>
      </c>
      <c r="D640" s="6">
        <f t="shared" si="9"/>
        <v>2270.2694999999999</v>
      </c>
      <c r="E640" s="5">
        <v>5</v>
      </c>
      <c r="F640" t="s">
        <v>26</v>
      </c>
      <c r="G640" s="6">
        <v>488.23</v>
      </c>
      <c r="H640" t="s">
        <v>17</v>
      </c>
      <c r="I640" s="7">
        <v>7.0000000000000007E-2</v>
      </c>
      <c r="J640" t="s">
        <v>31</v>
      </c>
      <c r="K640" t="s">
        <v>22</v>
      </c>
    </row>
    <row r="641" spans="1:11" x14ac:dyDescent="0.25">
      <c r="A641" s="1" t="s">
        <v>65</v>
      </c>
      <c r="B641" t="s">
        <v>14</v>
      </c>
      <c r="C641" t="s">
        <v>34</v>
      </c>
      <c r="D641" s="6">
        <f t="shared" si="9"/>
        <v>8139.6070000000009</v>
      </c>
      <c r="E641" s="5">
        <v>14</v>
      </c>
      <c r="F641" t="s">
        <v>26</v>
      </c>
      <c r="G641" s="6">
        <v>735.95</v>
      </c>
      <c r="H641" t="s">
        <v>17</v>
      </c>
      <c r="I641" s="7">
        <v>0.21</v>
      </c>
      <c r="J641" t="s">
        <v>18</v>
      </c>
      <c r="K641" t="s">
        <v>22</v>
      </c>
    </row>
    <row r="642" spans="1:11" x14ac:dyDescent="0.25">
      <c r="A642" s="1" t="s">
        <v>65</v>
      </c>
      <c r="B642" t="s">
        <v>33</v>
      </c>
      <c r="C642" t="s">
        <v>34</v>
      </c>
      <c r="D642" s="6">
        <f t="shared" ref="D642:D705" si="10">(Unit_Price*Qty_Sold)*(1-Discount)</f>
        <v>182845.89</v>
      </c>
      <c r="E642" s="5">
        <v>43</v>
      </c>
      <c r="F642" t="s">
        <v>26</v>
      </c>
      <c r="G642" s="6">
        <v>4724.7</v>
      </c>
      <c r="H642" t="s">
        <v>30</v>
      </c>
      <c r="I642" s="7">
        <v>0.1</v>
      </c>
      <c r="J642" t="s">
        <v>27</v>
      </c>
      <c r="K642" t="s">
        <v>22</v>
      </c>
    </row>
    <row r="643" spans="1:11" x14ac:dyDescent="0.25">
      <c r="A643" s="1" t="s">
        <v>65</v>
      </c>
      <c r="B643" t="s">
        <v>38</v>
      </c>
      <c r="C643" t="s">
        <v>34</v>
      </c>
      <c r="D643" s="6">
        <f t="shared" si="10"/>
        <v>43061.650499999734</v>
      </c>
      <c r="E643" s="5">
        <v>29</v>
      </c>
      <c r="F643" t="s">
        <v>29</v>
      </c>
      <c r="G643" s="6">
        <v>1596.6499999999901</v>
      </c>
      <c r="H643" t="s">
        <v>17</v>
      </c>
      <c r="I643" s="7">
        <v>7.0000000000000007E-2</v>
      </c>
      <c r="J643" t="s">
        <v>18</v>
      </c>
      <c r="K643" t="s">
        <v>19</v>
      </c>
    </row>
    <row r="644" spans="1:11" x14ac:dyDescent="0.25">
      <c r="A644" s="1" t="s">
        <v>65</v>
      </c>
      <c r="B644" t="s">
        <v>14</v>
      </c>
      <c r="C644" t="s">
        <v>15</v>
      </c>
      <c r="D644" s="6">
        <f t="shared" si="10"/>
        <v>87338.136599999998</v>
      </c>
      <c r="E644" s="5">
        <v>27</v>
      </c>
      <c r="F644" t="s">
        <v>29</v>
      </c>
      <c r="G644" s="6">
        <v>4147.1099999999997</v>
      </c>
      <c r="H644" t="s">
        <v>30</v>
      </c>
      <c r="I644" s="7">
        <v>0.22</v>
      </c>
      <c r="J644" t="s">
        <v>18</v>
      </c>
      <c r="K644" t="s">
        <v>19</v>
      </c>
    </row>
    <row r="645" spans="1:11" x14ac:dyDescent="0.25">
      <c r="A645" s="1" t="s">
        <v>65</v>
      </c>
      <c r="B645" t="s">
        <v>14</v>
      </c>
      <c r="C645" t="s">
        <v>21</v>
      </c>
      <c r="D645" s="6">
        <f t="shared" si="10"/>
        <v>17985.239999999998</v>
      </c>
      <c r="E645" s="5">
        <v>20</v>
      </c>
      <c r="F645" t="s">
        <v>26</v>
      </c>
      <c r="G645" s="6">
        <v>999.18</v>
      </c>
      <c r="H645" t="s">
        <v>30</v>
      </c>
      <c r="I645" s="7">
        <v>0.1</v>
      </c>
      <c r="J645" t="s">
        <v>27</v>
      </c>
      <c r="K645" t="s">
        <v>19</v>
      </c>
    </row>
    <row r="646" spans="1:11" x14ac:dyDescent="0.25">
      <c r="A646" s="1" t="s">
        <v>65</v>
      </c>
      <c r="B646" t="s">
        <v>42</v>
      </c>
      <c r="C646" t="s">
        <v>15</v>
      </c>
      <c r="D646" s="6">
        <f t="shared" si="10"/>
        <v>69862.998700000011</v>
      </c>
      <c r="E646" s="5">
        <v>43</v>
      </c>
      <c r="F646" t="s">
        <v>16</v>
      </c>
      <c r="G646" s="6">
        <v>1674.97</v>
      </c>
      <c r="H646" t="s">
        <v>30</v>
      </c>
      <c r="I646" s="7">
        <v>0.03</v>
      </c>
      <c r="J646" t="s">
        <v>31</v>
      </c>
      <c r="K646" t="s">
        <v>19</v>
      </c>
    </row>
    <row r="647" spans="1:11" x14ac:dyDescent="0.25">
      <c r="A647" s="1" t="s">
        <v>65</v>
      </c>
      <c r="B647" t="s">
        <v>42</v>
      </c>
      <c r="C647" t="s">
        <v>15</v>
      </c>
      <c r="D647" s="6">
        <f t="shared" si="10"/>
        <v>23038.3904</v>
      </c>
      <c r="E647" s="5">
        <v>8</v>
      </c>
      <c r="F647" t="s">
        <v>29</v>
      </c>
      <c r="G647" s="6">
        <v>3891.62</v>
      </c>
      <c r="H647" t="s">
        <v>17</v>
      </c>
      <c r="I647" s="7">
        <v>0.26</v>
      </c>
      <c r="J647" t="s">
        <v>27</v>
      </c>
      <c r="K647" t="s">
        <v>19</v>
      </c>
    </row>
    <row r="648" spans="1:11" x14ac:dyDescent="0.25">
      <c r="A648" s="1" t="s">
        <v>65</v>
      </c>
      <c r="B648" t="s">
        <v>24</v>
      </c>
      <c r="C648" t="s">
        <v>15</v>
      </c>
      <c r="D648" s="6">
        <f t="shared" si="10"/>
        <v>57793.522499999999</v>
      </c>
      <c r="E648" s="5">
        <v>45</v>
      </c>
      <c r="F648" t="s">
        <v>29</v>
      </c>
      <c r="G648" s="6">
        <v>1547.35</v>
      </c>
      <c r="H648" t="s">
        <v>30</v>
      </c>
      <c r="I648" s="7">
        <v>0.17</v>
      </c>
      <c r="J648" t="s">
        <v>18</v>
      </c>
      <c r="K648" t="s">
        <v>22</v>
      </c>
    </row>
    <row r="649" spans="1:11" x14ac:dyDescent="0.25">
      <c r="A649" s="1" t="s">
        <v>65</v>
      </c>
      <c r="B649" t="s">
        <v>42</v>
      </c>
      <c r="C649" t="s">
        <v>34</v>
      </c>
      <c r="D649" s="6">
        <f t="shared" si="10"/>
        <v>108378.47280000002</v>
      </c>
      <c r="E649" s="5">
        <v>43</v>
      </c>
      <c r="F649" t="s">
        <v>16</v>
      </c>
      <c r="G649" s="6">
        <v>3231.32</v>
      </c>
      <c r="H649" t="s">
        <v>17</v>
      </c>
      <c r="I649" s="7">
        <v>0.22</v>
      </c>
      <c r="J649" t="s">
        <v>18</v>
      </c>
      <c r="K649" t="s">
        <v>22</v>
      </c>
    </row>
    <row r="650" spans="1:11" x14ac:dyDescent="0.25">
      <c r="A650" s="1" t="s">
        <v>65</v>
      </c>
      <c r="B650" t="s">
        <v>14</v>
      </c>
      <c r="C650" t="s">
        <v>21</v>
      </c>
      <c r="D650" s="6">
        <f t="shared" si="10"/>
        <v>110276.03860000001</v>
      </c>
      <c r="E650" s="5">
        <v>34</v>
      </c>
      <c r="F650" t="s">
        <v>35</v>
      </c>
      <c r="G650" s="6">
        <v>3564.19</v>
      </c>
      <c r="H650" t="s">
        <v>17</v>
      </c>
      <c r="I650" s="7">
        <v>0.09</v>
      </c>
      <c r="J650" t="s">
        <v>18</v>
      </c>
      <c r="K650" t="s">
        <v>19</v>
      </c>
    </row>
    <row r="651" spans="1:11" x14ac:dyDescent="0.25">
      <c r="A651" s="1" t="s">
        <v>65</v>
      </c>
      <c r="B651" t="s">
        <v>38</v>
      </c>
      <c r="C651" t="s">
        <v>25</v>
      </c>
      <c r="D651" s="6">
        <f t="shared" si="10"/>
        <v>157108.62999999998</v>
      </c>
      <c r="E651" s="5">
        <v>46</v>
      </c>
      <c r="F651" t="s">
        <v>16</v>
      </c>
      <c r="G651" s="6">
        <v>4879.1499999999996</v>
      </c>
      <c r="H651" t="s">
        <v>17</v>
      </c>
      <c r="I651" s="7">
        <v>0.3</v>
      </c>
      <c r="J651" t="s">
        <v>18</v>
      </c>
      <c r="K651" t="s">
        <v>22</v>
      </c>
    </row>
    <row r="652" spans="1:11" x14ac:dyDescent="0.25">
      <c r="A652" s="1" t="s">
        <v>65</v>
      </c>
      <c r="B652" t="s">
        <v>42</v>
      </c>
      <c r="C652" t="s">
        <v>21</v>
      </c>
      <c r="D652" s="6">
        <f t="shared" si="10"/>
        <v>5372.5899999999783</v>
      </c>
      <c r="E652" s="5">
        <v>25</v>
      </c>
      <c r="F652" t="s">
        <v>35</v>
      </c>
      <c r="G652" s="6">
        <v>258.91999999999899</v>
      </c>
      <c r="H652" t="s">
        <v>30</v>
      </c>
      <c r="I652" s="7">
        <v>0.17</v>
      </c>
      <c r="J652" t="s">
        <v>31</v>
      </c>
      <c r="K652" t="s">
        <v>19</v>
      </c>
    </row>
    <row r="653" spans="1:11" x14ac:dyDescent="0.25">
      <c r="A653" s="1" t="s">
        <v>65</v>
      </c>
      <c r="B653" t="s">
        <v>14</v>
      </c>
      <c r="C653" t="s">
        <v>34</v>
      </c>
      <c r="D653" s="6">
        <f t="shared" si="10"/>
        <v>9203.0831999999991</v>
      </c>
      <c r="E653" s="5">
        <v>38</v>
      </c>
      <c r="F653" t="s">
        <v>29</v>
      </c>
      <c r="G653" s="6">
        <v>336.37</v>
      </c>
      <c r="H653" t="s">
        <v>30</v>
      </c>
      <c r="I653" s="7">
        <v>0.28000000000000003</v>
      </c>
      <c r="J653" t="s">
        <v>31</v>
      </c>
      <c r="K653" t="s">
        <v>22</v>
      </c>
    </row>
    <row r="654" spans="1:11" x14ac:dyDescent="0.25">
      <c r="A654" s="1" t="s">
        <v>64</v>
      </c>
      <c r="B654" t="s">
        <v>24</v>
      </c>
      <c r="C654" t="s">
        <v>21</v>
      </c>
      <c r="D654" s="6">
        <f t="shared" si="10"/>
        <v>57977.428500000002</v>
      </c>
      <c r="E654" s="5">
        <v>45</v>
      </c>
      <c r="F654" t="s">
        <v>16</v>
      </c>
      <c r="G654" s="6">
        <v>1814.63</v>
      </c>
      <c r="H654" t="s">
        <v>30</v>
      </c>
      <c r="I654" s="7">
        <v>0.28999999999999998</v>
      </c>
      <c r="J654" t="s">
        <v>27</v>
      </c>
      <c r="K654" t="s">
        <v>22</v>
      </c>
    </row>
    <row r="655" spans="1:11" x14ac:dyDescent="0.25">
      <c r="A655" s="1" t="s">
        <v>65</v>
      </c>
      <c r="B655" t="s">
        <v>33</v>
      </c>
      <c r="C655" t="s">
        <v>15</v>
      </c>
      <c r="D655" s="6">
        <f t="shared" si="10"/>
        <v>105433.84999999999</v>
      </c>
      <c r="E655" s="5">
        <v>43</v>
      </c>
      <c r="F655" t="s">
        <v>16</v>
      </c>
      <c r="G655" s="6">
        <v>2581</v>
      </c>
      <c r="H655" t="s">
        <v>30</v>
      </c>
      <c r="I655" s="7">
        <v>0.05</v>
      </c>
      <c r="J655" t="s">
        <v>27</v>
      </c>
      <c r="K655" t="s">
        <v>19</v>
      </c>
    </row>
    <row r="656" spans="1:11" x14ac:dyDescent="0.25">
      <c r="A656" s="1" t="s">
        <v>65</v>
      </c>
      <c r="B656" t="s">
        <v>42</v>
      </c>
      <c r="C656" t="s">
        <v>34</v>
      </c>
      <c r="D656" s="6">
        <f t="shared" si="10"/>
        <v>34184.979999999996</v>
      </c>
      <c r="E656" s="5">
        <v>25</v>
      </c>
      <c r="F656" t="s">
        <v>35</v>
      </c>
      <c r="G656" s="6">
        <v>1454.68</v>
      </c>
      <c r="H656" t="s">
        <v>17</v>
      </c>
      <c r="I656" s="7">
        <v>0.06</v>
      </c>
      <c r="J656" t="s">
        <v>31</v>
      </c>
      <c r="K656" t="s">
        <v>19</v>
      </c>
    </row>
    <row r="657" spans="1:13" x14ac:dyDescent="0.25">
      <c r="A657" s="1" t="s">
        <v>69</v>
      </c>
      <c r="B657" t="s">
        <v>24</v>
      </c>
      <c r="C657" t="s">
        <v>15</v>
      </c>
      <c r="D657" s="6">
        <f t="shared" si="10"/>
        <v>58835.75039999959</v>
      </c>
      <c r="E657" s="5">
        <v>49</v>
      </c>
      <c r="F657" t="s">
        <v>29</v>
      </c>
      <c r="G657" s="6">
        <v>1429.4399999999901</v>
      </c>
      <c r="H657" t="s">
        <v>30</v>
      </c>
      <c r="I657" s="7">
        <v>0.16</v>
      </c>
      <c r="J657" t="s">
        <v>18</v>
      </c>
      <c r="K657" t="s">
        <v>19</v>
      </c>
    </row>
    <row r="658" spans="1:13" x14ac:dyDescent="0.25">
      <c r="A658" s="1" t="s">
        <v>65</v>
      </c>
      <c r="B658" t="s">
        <v>24</v>
      </c>
      <c r="C658" t="s">
        <v>21</v>
      </c>
      <c r="D658" s="6">
        <f t="shared" si="10"/>
        <v>59264.417399999998</v>
      </c>
      <c r="E658" s="5">
        <v>29</v>
      </c>
      <c r="F658" t="s">
        <v>16</v>
      </c>
      <c r="G658" s="6">
        <v>2197.42</v>
      </c>
      <c r="H658" t="s">
        <v>30</v>
      </c>
      <c r="I658" s="7">
        <v>7.0000000000000007E-2</v>
      </c>
      <c r="J658" t="s">
        <v>27</v>
      </c>
      <c r="K658" t="s">
        <v>22</v>
      </c>
    </row>
    <row r="659" spans="1:13" x14ac:dyDescent="0.25">
      <c r="A659" s="1" t="s">
        <v>65</v>
      </c>
      <c r="B659" t="s">
        <v>42</v>
      </c>
      <c r="C659" t="s">
        <v>34</v>
      </c>
      <c r="D659" s="6">
        <f t="shared" si="10"/>
        <v>2309.8580999999999</v>
      </c>
      <c r="E659" s="5">
        <v>1</v>
      </c>
      <c r="F659" t="s">
        <v>35</v>
      </c>
      <c r="G659" s="6">
        <v>2333.19</v>
      </c>
      <c r="H659" t="s">
        <v>30</v>
      </c>
      <c r="I659" s="7">
        <v>0.01</v>
      </c>
      <c r="J659" t="s">
        <v>18</v>
      </c>
      <c r="K659" t="s">
        <v>22</v>
      </c>
    </row>
    <row r="660" spans="1:13" x14ac:dyDescent="0.25">
      <c r="A660" s="1" t="s">
        <v>65</v>
      </c>
      <c r="B660" t="s">
        <v>38</v>
      </c>
      <c r="C660" t="s">
        <v>21</v>
      </c>
      <c r="D660" s="6">
        <f t="shared" si="10"/>
        <v>85500.273600000015</v>
      </c>
      <c r="E660" s="5">
        <v>36</v>
      </c>
      <c r="F660" t="s">
        <v>29</v>
      </c>
      <c r="G660" s="6">
        <v>3125.01</v>
      </c>
      <c r="H660" t="s">
        <v>30</v>
      </c>
      <c r="I660" s="7">
        <v>0.24</v>
      </c>
      <c r="J660" t="s">
        <v>18</v>
      </c>
      <c r="K660" t="s">
        <v>19</v>
      </c>
    </row>
    <row r="661" spans="1:13" x14ac:dyDescent="0.25">
      <c r="A661" s="1" t="s">
        <v>65</v>
      </c>
      <c r="B661" t="s">
        <v>42</v>
      </c>
      <c r="C661" t="s">
        <v>15</v>
      </c>
      <c r="D661" s="6">
        <f t="shared" si="10"/>
        <v>10040.8788</v>
      </c>
      <c r="E661" s="5">
        <v>18</v>
      </c>
      <c r="F661" t="s">
        <v>29</v>
      </c>
      <c r="G661" s="6">
        <v>641.17999999999995</v>
      </c>
      <c r="H661" t="s">
        <v>30</v>
      </c>
      <c r="I661" s="7">
        <v>0.13</v>
      </c>
      <c r="J661" t="s">
        <v>18</v>
      </c>
      <c r="K661" t="s">
        <v>19</v>
      </c>
    </row>
    <row r="662" spans="1:13" x14ac:dyDescent="0.25">
      <c r="A662" s="1" t="s">
        <v>65</v>
      </c>
      <c r="B662" t="s">
        <v>42</v>
      </c>
      <c r="C662" t="s">
        <v>34</v>
      </c>
      <c r="D662" s="6">
        <f t="shared" si="10"/>
        <v>120813.35039999998</v>
      </c>
      <c r="E662" s="5">
        <v>48</v>
      </c>
      <c r="F662" t="s">
        <v>26</v>
      </c>
      <c r="G662" s="6">
        <v>2926.68</v>
      </c>
      <c r="H662" t="s">
        <v>17</v>
      </c>
      <c r="I662" s="7">
        <v>0.14000000000000001</v>
      </c>
      <c r="J662" t="s">
        <v>18</v>
      </c>
      <c r="K662" t="s">
        <v>19</v>
      </c>
    </row>
    <row r="663" spans="1:13" x14ac:dyDescent="0.25">
      <c r="A663" s="1" t="s">
        <v>62</v>
      </c>
      <c r="B663" t="s">
        <v>24</v>
      </c>
      <c r="C663" t="s">
        <v>25</v>
      </c>
      <c r="D663" s="6">
        <f t="shared" si="10"/>
        <v>59283.681600000004</v>
      </c>
      <c r="E663" s="5">
        <v>22</v>
      </c>
      <c r="F663" t="s">
        <v>26</v>
      </c>
      <c r="G663" s="6">
        <v>3454.76</v>
      </c>
      <c r="H663" t="s">
        <v>17</v>
      </c>
      <c r="I663" s="7">
        <v>0.22</v>
      </c>
      <c r="J663" t="s">
        <v>27</v>
      </c>
      <c r="K663" t="s">
        <v>22</v>
      </c>
    </row>
    <row r="664" spans="1:13" x14ac:dyDescent="0.25">
      <c r="A664" s="1" t="s">
        <v>64</v>
      </c>
      <c r="B664" t="s">
        <v>33</v>
      </c>
      <c r="C664" t="s">
        <v>25</v>
      </c>
      <c r="D664" s="6">
        <f t="shared" si="10"/>
        <v>99536.148799999981</v>
      </c>
      <c r="E664" s="5">
        <v>44</v>
      </c>
      <c r="F664" t="s">
        <v>26</v>
      </c>
      <c r="G664" s="6">
        <v>2406.58</v>
      </c>
      <c r="H664" t="s">
        <v>17</v>
      </c>
      <c r="I664" s="7">
        <v>0.06</v>
      </c>
      <c r="J664" t="s">
        <v>27</v>
      </c>
      <c r="K664" t="s">
        <v>22</v>
      </c>
    </row>
    <row r="665" spans="1:13" x14ac:dyDescent="0.25">
      <c r="A665" s="1" t="s">
        <v>64</v>
      </c>
      <c r="B665" t="s">
        <v>14</v>
      </c>
      <c r="C665" t="s">
        <v>15</v>
      </c>
      <c r="D665" s="6">
        <f t="shared" si="10"/>
        <v>141848.728</v>
      </c>
      <c r="E665" s="5">
        <v>49</v>
      </c>
      <c r="F665" t="s">
        <v>26</v>
      </c>
      <c r="G665" s="6">
        <v>3146.6</v>
      </c>
      <c r="H665" t="s">
        <v>30</v>
      </c>
      <c r="I665" s="7">
        <v>0.08</v>
      </c>
      <c r="J665" t="s">
        <v>18</v>
      </c>
      <c r="K665" t="s">
        <v>22</v>
      </c>
    </row>
    <row r="666" spans="1:13" x14ac:dyDescent="0.25">
      <c r="A666" s="1" t="s">
        <v>70</v>
      </c>
      <c r="B666" t="s">
        <v>24</v>
      </c>
      <c r="C666" t="s">
        <v>25</v>
      </c>
      <c r="D666" s="6">
        <f t="shared" si="10"/>
        <v>60285.576000000001</v>
      </c>
      <c r="E666" s="5">
        <v>23</v>
      </c>
      <c r="F666" t="s">
        <v>16</v>
      </c>
      <c r="G666" s="6">
        <v>3360.4</v>
      </c>
      <c r="H666" t="s">
        <v>17</v>
      </c>
      <c r="I666" s="7">
        <v>0.22</v>
      </c>
      <c r="J666" t="s">
        <v>27</v>
      </c>
      <c r="K666" t="s">
        <v>22</v>
      </c>
    </row>
    <row r="667" spans="1:13" x14ac:dyDescent="0.25">
      <c r="A667" s="1" t="s">
        <v>64</v>
      </c>
      <c r="B667" t="s">
        <v>33</v>
      </c>
      <c r="C667" t="s">
        <v>15</v>
      </c>
      <c r="D667" s="6">
        <f t="shared" si="10"/>
        <v>9080.7911999999706</v>
      </c>
      <c r="E667" s="5">
        <v>4</v>
      </c>
      <c r="F667" t="s">
        <v>16</v>
      </c>
      <c r="G667" s="6">
        <v>2910.5099999999902</v>
      </c>
      <c r="H667" t="s">
        <v>30</v>
      </c>
      <c r="I667" s="7">
        <v>0.22</v>
      </c>
      <c r="J667" t="s">
        <v>31</v>
      </c>
      <c r="K667" t="s">
        <v>22</v>
      </c>
    </row>
    <row r="668" spans="1:13" x14ac:dyDescent="0.25">
      <c r="A668" s="1" t="s">
        <v>67</v>
      </c>
      <c r="B668" t="s">
        <v>24</v>
      </c>
      <c r="C668" t="s">
        <v>15</v>
      </c>
      <c r="D668" s="6">
        <f t="shared" si="10"/>
        <v>60377.270399999994</v>
      </c>
      <c r="E668" s="5">
        <v>36</v>
      </c>
      <c r="F668" t="s">
        <v>29</v>
      </c>
      <c r="G668" s="6">
        <v>2329.37</v>
      </c>
      <c r="H668" t="s">
        <v>30</v>
      </c>
      <c r="I668" s="7">
        <v>0.28000000000000003</v>
      </c>
      <c r="J668" t="s">
        <v>31</v>
      </c>
      <c r="K668" t="s">
        <v>22</v>
      </c>
      <c r="M668" s="10"/>
    </row>
    <row r="669" spans="1:13" x14ac:dyDescent="0.25">
      <c r="A669" s="1" t="s">
        <v>64</v>
      </c>
      <c r="B669" t="s">
        <v>14</v>
      </c>
      <c r="C669" t="s">
        <v>25</v>
      </c>
      <c r="D669" s="6">
        <f t="shared" si="10"/>
        <v>115754.6784</v>
      </c>
      <c r="E669" s="5">
        <v>48</v>
      </c>
      <c r="F669" t="s">
        <v>26</v>
      </c>
      <c r="G669" s="6">
        <v>2486.14</v>
      </c>
      <c r="H669" t="s">
        <v>30</v>
      </c>
      <c r="I669" s="7">
        <v>0.03</v>
      </c>
      <c r="J669" t="s">
        <v>18</v>
      </c>
      <c r="K669" t="s">
        <v>22</v>
      </c>
    </row>
    <row r="670" spans="1:13" x14ac:dyDescent="0.25">
      <c r="A670" s="1" t="s">
        <v>64</v>
      </c>
      <c r="B670" t="s">
        <v>38</v>
      </c>
      <c r="C670" t="s">
        <v>15</v>
      </c>
      <c r="D670" s="6">
        <f t="shared" si="10"/>
        <v>49533.443999999901</v>
      </c>
      <c r="E670" s="5">
        <v>12</v>
      </c>
      <c r="F670" t="s">
        <v>29</v>
      </c>
      <c r="G670" s="6">
        <v>4856.2199999999903</v>
      </c>
      <c r="H670" t="s">
        <v>17</v>
      </c>
      <c r="I670" s="7">
        <v>0.15</v>
      </c>
      <c r="J670" t="s">
        <v>18</v>
      </c>
      <c r="K670" t="s">
        <v>22</v>
      </c>
    </row>
    <row r="671" spans="1:13" x14ac:dyDescent="0.25">
      <c r="A671" s="1" t="s">
        <v>64</v>
      </c>
      <c r="B671" t="s">
        <v>38</v>
      </c>
      <c r="C671" t="s">
        <v>25</v>
      </c>
      <c r="D671" s="6">
        <f t="shared" si="10"/>
        <v>17805.795000000002</v>
      </c>
      <c r="E671" s="5">
        <v>23</v>
      </c>
      <c r="F671" t="s">
        <v>35</v>
      </c>
      <c r="G671" s="6">
        <v>1032.22</v>
      </c>
      <c r="H671" t="s">
        <v>30</v>
      </c>
      <c r="I671" s="7">
        <v>0.25</v>
      </c>
      <c r="J671" t="s">
        <v>18</v>
      </c>
      <c r="K671" t="s">
        <v>22</v>
      </c>
    </row>
    <row r="672" spans="1:13" x14ac:dyDescent="0.25">
      <c r="A672" s="1" t="s">
        <v>64</v>
      </c>
      <c r="B672" t="s">
        <v>33</v>
      </c>
      <c r="C672" t="s">
        <v>21</v>
      </c>
      <c r="D672" s="6">
        <f t="shared" si="10"/>
        <v>49679.63</v>
      </c>
      <c r="E672" s="5">
        <v>25</v>
      </c>
      <c r="F672" t="s">
        <v>26</v>
      </c>
      <c r="G672" s="6">
        <v>2027.74</v>
      </c>
      <c r="H672" t="s">
        <v>30</v>
      </c>
      <c r="I672" s="7">
        <v>0.02</v>
      </c>
      <c r="J672" t="s">
        <v>27</v>
      </c>
      <c r="K672" t="s">
        <v>22</v>
      </c>
    </row>
    <row r="673" spans="1:11" x14ac:dyDescent="0.25">
      <c r="A673" s="1" t="s">
        <v>62</v>
      </c>
      <c r="B673" t="s">
        <v>24</v>
      </c>
      <c r="C673" t="s">
        <v>25</v>
      </c>
      <c r="D673" s="6">
        <f t="shared" si="10"/>
        <v>61103.705600000001</v>
      </c>
      <c r="E673" s="5">
        <v>32</v>
      </c>
      <c r="F673" t="s">
        <v>29</v>
      </c>
      <c r="G673" s="6">
        <v>1948.46</v>
      </c>
      <c r="H673" t="s">
        <v>30</v>
      </c>
      <c r="I673" s="7">
        <v>0.02</v>
      </c>
      <c r="J673" t="s">
        <v>31</v>
      </c>
      <c r="K673" t="s">
        <v>19</v>
      </c>
    </row>
    <row r="674" spans="1:11" x14ac:dyDescent="0.25">
      <c r="A674" s="1" t="s">
        <v>64</v>
      </c>
      <c r="B674" t="s">
        <v>42</v>
      </c>
      <c r="C674" t="s">
        <v>34</v>
      </c>
      <c r="D674" s="6">
        <f t="shared" si="10"/>
        <v>36020.872799999997</v>
      </c>
      <c r="E674" s="5">
        <v>9</v>
      </c>
      <c r="F674" t="s">
        <v>26</v>
      </c>
      <c r="G674" s="6">
        <v>4548.09</v>
      </c>
      <c r="H674" t="s">
        <v>17</v>
      </c>
      <c r="I674" s="7">
        <v>0.12</v>
      </c>
      <c r="J674" t="s">
        <v>31</v>
      </c>
      <c r="K674" t="s">
        <v>22</v>
      </c>
    </row>
    <row r="675" spans="1:11" x14ac:dyDescent="0.25">
      <c r="A675" s="1" t="s">
        <v>64</v>
      </c>
      <c r="B675" t="s">
        <v>38</v>
      </c>
      <c r="C675" t="s">
        <v>25</v>
      </c>
      <c r="D675" s="6">
        <f t="shared" si="10"/>
        <v>84522.847500000003</v>
      </c>
      <c r="E675" s="5">
        <v>39</v>
      </c>
      <c r="F675" t="s">
        <v>26</v>
      </c>
      <c r="G675" s="6">
        <v>2889.67</v>
      </c>
      <c r="H675" t="s">
        <v>17</v>
      </c>
      <c r="I675" s="7">
        <v>0.25</v>
      </c>
      <c r="J675" t="s">
        <v>18</v>
      </c>
      <c r="K675" t="s">
        <v>19</v>
      </c>
    </row>
    <row r="676" spans="1:11" x14ac:dyDescent="0.25">
      <c r="A676" s="1" t="s">
        <v>64</v>
      </c>
      <c r="B676" t="s">
        <v>33</v>
      </c>
      <c r="C676" t="s">
        <v>21</v>
      </c>
      <c r="D676" s="6">
        <f t="shared" si="10"/>
        <v>60139.783100000001</v>
      </c>
      <c r="E676" s="5">
        <v>17</v>
      </c>
      <c r="F676" t="s">
        <v>35</v>
      </c>
      <c r="G676" s="6">
        <v>4262.21</v>
      </c>
      <c r="H676" t="s">
        <v>30</v>
      </c>
      <c r="I676" s="7">
        <v>0.17</v>
      </c>
      <c r="J676" t="s">
        <v>18</v>
      </c>
      <c r="K676" t="s">
        <v>19</v>
      </c>
    </row>
    <row r="677" spans="1:11" x14ac:dyDescent="0.25">
      <c r="A677" s="1" t="s">
        <v>64</v>
      </c>
      <c r="B677" t="s">
        <v>38</v>
      </c>
      <c r="C677" t="s">
        <v>15</v>
      </c>
      <c r="D677" s="6">
        <f t="shared" si="10"/>
        <v>122790.61079999999</v>
      </c>
      <c r="E677" s="5">
        <v>26</v>
      </c>
      <c r="F677" t="s">
        <v>29</v>
      </c>
      <c r="G677" s="6">
        <v>4770.42</v>
      </c>
      <c r="H677" t="s">
        <v>30</v>
      </c>
      <c r="I677" s="7">
        <v>0.01</v>
      </c>
      <c r="J677" t="s">
        <v>31</v>
      </c>
      <c r="K677" t="s">
        <v>22</v>
      </c>
    </row>
    <row r="678" spans="1:11" x14ac:dyDescent="0.25">
      <c r="A678" s="1" t="s">
        <v>64</v>
      </c>
      <c r="B678" t="s">
        <v>33</v>
      </c>
      <c r="C678" t="s">
        <v>21</v>
      </c>
      <c r="D678" s="6">
        <f t="shared" si="10"/>
        <v>103800.9382</v>
      </c>
      <c r="E678" s="5">
        <v>47</v>
      </c>
      <c r="F678" t="s">
        <v>29</v>
      </c>
      <c r="G678" s="6">
        <v>2693.33</v>
      </c>
      <c r="H678" t="s">
        <v>30</v>
      </c>
      <c r="I678" s="7">
        <v>0.18</v>
      </c>
      <c r="J678" t="s">
        <v>27</v>
      </c>
      <c r="K678" t="s">
        <v>19</v>
      </c>
    </row>
    <row r="679" spans="1:11" x14ac:dyDescent="0.25">
      <c r="A679" s="1" t="s">
        <v>64</v>
      </c>
      <c r="B679" t="s">
        <v>14</v>
      </c>
      <c r="C679" t="s">
        <v>21</v>
      </c>
      <c r="D679" s="6">
        <f t="shared" si="10"/>
        <v>46257.665999999866</v>
      </c>
      <c r="E679" s="5">
        <v>15</v>
      </c>
      <c r="F679" t="s">
        <v>29</v>
      </c>
      <c r="G679" s="6">
        <v>3388.8399999999901</v>
      </c>
      <c r="H679" t="s">
        <v>17</v>
      </c>
      <c r="I679" s="7">
        <v>0.09</v>
      </c>
      <c r="J679" t="s">
        <v>31</v>
      </c>
      <c r="K679" t="s">
        <v>22</v>
      </c>
    </row>
    <row r="680" spans="1:11" x14ac:dyDescent="0.25">
      <c r="A680" s="1" t="s">
        <v>64</v>
      </c>
      <c r="B680" t="s">
        <v>38</v>
      </c>
      <c r="C680" t="s">
        <v>25</v>
      </c>
      <c r="D680" s="6">
        <f t="shared" si="10"/>
        <v>40115.25</v>
      </c>
      <c r="E680" s="5">
        <v>36</v>
      </c>
      <c r="F680" t="s">
        <v>16</v>
      </c>
      <c r="G680" s="6">
        <v>1485.75</v>
      </c>
      <c r="H680" t="s">
        <v>30</v>
      </c>
      <c r="I680" s="7">
        <v>0.25</v>
      </c>
      <c r="J680" t="s">
        <v>31</v>
      </c>
      <c r="K680" t="s">
        <v>19</v>
      </c>
    </row>
    <row r="681" spans="1:11" x14ac:dyDescent="0.25">
      <c r="A681" s="1" t="s">
        <v>64</v>
      </c>
      <c r="B681" t="s">
        <v>33</v>
      </c>
      <c r="C681" t="s">
        <v>15</v>
      </c>
      <c r="D681" s="6">
        <f t="shared" si="10"/>
        <v>30985.632000000001</v>
      </c>
      <c r="E681" s="5">
        <v>40</v>
      </c>
      <c r="F681" t="s">
        <v>16</v>
      </c>
      <c r="G681" s="6">
        <v>1075.8900000000001</v>
      </c>
      <c r="H681" t="s">
        <v>30</v>
      </c>
      <c r="I681" s="7">
        <v>0.28000000000000003</v>
      </c>
      <c r="J681" t="s">
        <v>31</v>
      </c>
      <c r="K681" t="s">
        <v>22</v>
      </c>
    </row>
    <row r="682" spans="1:11" x14ac:dyDescent="0.25">
      <c r="A682" s="1" t="s">
        <v>64</v>
      </c>
      <c r="B682" t="s">
        <v>38</v>
      </c>
      <c r="C682" t="s">
        <v>34</v>
      </c>
      <c r="D682" s="6">
        <f t="shared" si="10"/>
        <v>19538.360799999999</v>
      </c>
      <c r="E682" s="5">
        <v>14</v>
      </c>
      <c r="F682" t="s">
        <v>26</v>
      </c>
      <c r="G682" s="6">
        <v>1438.76</v>
      </c>
      <c r="H682" t="s">
        <v>17</v>
      </c>
      <c r="I682" s="7">
        <v>0.03</v>
      </c>
      <c r="J682" t="s">
        <v>27</v>
      </c>
      <c r="K682" t="s">
        <v>19</v>
      </c>
    </row>
    <row r="683" spans="1:11" x14ac:dyDescent="0.25">
      <c r="A683" s="1" t="s">
        <v>64</v>
      </c>
      <c r="B683" t="s">
        <v>33</v>
      </c>
      <c r="C683" t="s">
        <v>34</v>
      </c>
      <c r="D683" s="6">
        <f t="shared" si="10"/>
        <v>31604.126400000001</v>
      </c>
      <c r="E683" s="5">
        <v>48</v>
      </c>
      <c r="F683" t="s">
        <v>16</v>
      </c>
      <c r="G683" s="6">
        <v>665.07</v>
      </c>
      <c r="H683" t="s">
        <v>17</v>
      </c>
      <c r="I683" s="7">
        <v>0.01</v>
      </c>
      <c r="J683" t="s">
        <v>27</v>
      </c>
      <c r="K683" t="s">
        <v>22</v>
      </c>
    </row>
    <row r="684" spans="1:11" x14ac:dyDescent="0.25">
      <c r="A684" s="1" t="s">
        <v>64</v>
      </c>
      <c r="B684" t="s">
        <v>33</v>
      </c>
      <c r="C684" t="s">
        <v>34</v>
      </c>
      <c r="D684" s="6">
        <f t="shared" si="10"/>
        <v>11680.8</v>
      </c>
      <c r="E684" s="5">
        <v>4</v>
      </c>
      <c r="F684" t="s">
        <v>29</v>
      </c>
      <c r="G684" s="6">
        <v>3893.6</v>
      </c>
      <c r="H684" t="s">
        <v>30</v>
      </c>
      <c r="I684" s="7">
        <v>0.25</v>
      </c>
      <c r="J684" t="s">
        <v>27</v>
      </c>
      <c r="K684" t="s">
        <v>22</v>
      </c>
    </row>
    <row r="685" spans="1:11" x14ac:dyDescent="0.25">
      <c r="A685" s="1" t="s">
        <v>64</v>
      </c>
      <c r="B685" t="s">
        <v>14</v>
      </c>
      <c r="C685" t="s">
        <v>15</v>
      </c>
      <c r="D685" s="6">
        <f t="shared" si="10"/>
        <v>36974.457000000002</v>
      </c>
      <c r="E685" s="5">
        <v>26</v>
      </c>
      <c r="F685" t="s">
        <v>35</v>
      </c>
      <c r="G685" s="6">
        <v>2002.95</v>
      </c>
      <c r="H685" t="s">
        <v>17</v>
      </c>
      <c r="I685" s="7">
        <v>0.28999999999999998</v>
      </c>
      <c r="J685" t="s">
        <v>31</v>
      </c>
      <c r="K685" t="s">
        <v>22</v>
      </c>
    </row>
    <row r="686" spans="1:11" x14ac:dyDescent="0.25">
      <c r="A686" s="1" t="s">
        <v>62</v>
      </c>
      <c r="B686" t="s">
        <v>24</v>
      </c>
      <c r="C686" t="s">
        <v>25</v>
      </c>
      <c r="D686" s="6">
        <f t="shared" si="10"/>
        <v>61331.039999999644</v>
      </c>
      <c r="E686" s="5">
        <v>45</v>
      </c>
      <c r="F686" t="s">
        <v>29</v>
      </c>
      <c r="G686" s="6">
        <v>1703.6399999999901</v>
      </c>
      <c r="H686" t="s">
        <v>30</v>
      </c>
      <c r="I686" s="7">
        <v>0.2</v>
      </c>
      <c r="J686" t="s">
        <v>27</v>
      </c>
      <c r="K686" t="s">
        <v>22</v>
      </c>
    </row>
    <row r="687" spans="1:11" x14ac:dyDescent="0.25">
      <c r="A687" s="1" t="s">
        <v>64</v>
      </c>
      <c r="B687" t="s">
        <v>24</v>
      </c>
      <c r="C687" t="s">
        <v>15</v>
      </c>
      <c r="D687" s="6">
        <f t="shared" si="10"/>
        <v>63896.543999999994</v>
      </c>
      <c r="E687" s="5">
        <v>45</v>
      </c>
      <c r="F687" t="s">
        <v>29</v>
      </c>
      <c r="G687" s="6">
        <v>1868.32</v>
      </c>
      <c r="H687" t="s">
        <v>17</v>
      </c>
      <c r="I687" s="7">
        <v>0.24</v>
      </c>
      <c r="J687" t="s">
        <v>18</v>
      </c>
      <c r="K687" t="s">
        <v>22</v>
      </c>
    </row>
    <row r="688" spans="1:11" x14ac:dyDescent="0.25">
      <c r="A688" s="1" t="s">
        <v>64</v>
      </c>
      <c r="B688" t="s">
        <v>14</v>
      </c>
      <c r="C688" t="s">
        <v>25</v>
      </c>
      <c r="D688" s="6">
        <f t="shared" si="10"/>
        <v>10138.289999999999</v>
      </c>
      <c r="E688" s="5">
        <v>5</v>
      </c>
      <c r="F688" t="s">
        <v>16</v>
      </c>
      <c r="G688" s="6">
        <v>2385.48</v>
      </c>
      <c r="H688" t="s">
        <v>17</v>
      </c>
      <c r="I688" s="7">
        <v>0.15</v>
      </c>
      <c r="J688" t="s">
        <v>31</v>
      </c>
      <c r="K688" t="s">
        <v>19</v>
      </c>
    </row>
    <row r="689" spans="1:11" x14ac:dyDescent="0.25">
      <c r="A689" s="1" t="s">
        <v>73</v>
      </c>
      <c r="B689" t="s">
        <v>24</v>
      </c>
      <c r="C689" t="s">
        <v>15</v>
      </c>
      <c r="D689" s="6">
        <f t="shared" si="10"/>
        <v>64276.959599999995</v>
      </c>
      <c r="E689" s="5">
        <v>28</v>
      </c>
      <c r="F689" t="s">
        <v>26</v>
      </c>
      <c r="G689" s="6">
        <v>2765.79</v>
      </c>
      <c r="H689" t="s">
        <v>17</v>
      </c>
      <c r="I689" s="7">
        <v>0.17</v>
      </c>
      <c r="J689" t="s">
        <v>31</v>
      </c>
      <c r="K689" t="s">
        <v>19</v>
      </c>
    </row>
    <row r="690" spans="1:11" x14ac:dyDescent="0.25">
      <c r="A690" s="1" t="s">
        <v>64</v>
      </c>
      <c r="B690" t="s">
        <v>38</v>
      </c>
      <c r="C690" t="s">
        <v>34</v>
      </c>
      <c r="D690" s="6">
        <f t="shared" si="10"/>
        <v>62797.376799999991</v>
      </c>
      <c r="E690" s="5">
        <v>47</v>
      </c>
      <c r="F690" t="s">
        <v>26</v>
      </c>
      <c r="G690" s="6">
        <v>1805.56</v>
      </c>
      <c r="H690" t="s">
        <v>30</v>
      </c>
      <c r="I690" s="7">
        <v>0.26</v>
      </c>
      <c r="J690" t="s">
        <v>31</v>
      </c>
      <c r="K690" t="s">
        <v>22</v>
      </c>
    </row>
    <row r="691" spans="1:11" x14ac:dyDescent="0.25">
      <c r="A691" s="1" t="s">
        <v>64</v>
      </c>
      <c r="B691" t="s">
        <v>14</v>
      </c>
      <c r="C691" t="s">
        <v>34</v>
      </c>
      <c r="D691" s="6">
        <f t="shared" si="10"/>
        <v>92791.212499999994</v>
      </c>
      <c r="E691" s="5">
        <v>35</v>
      </c>
      <c r="F691" t="s">
        <v>29</v>
      </c>
      <c r="G691" s="6">
        <v>3631.75</v>
      </c>
      <c r="H691" t="s">
        <v>17</v>
      </c>
      <c r="I691" s="7">
        <v>0.27</v>
      </c>
      <c r="J691" t="s">
        <v>31</v>
      </c>
      <c r="K691" t="s">
        <v>19</v>
      </c>
    </row>
    <row r="692" spans="1:11" x14ac:dyDescent="0.25">
      <c r="A692" s="1" t="s">
        <v>64</v>
      </c>
      <c r="B692" t="s">
        <v>33</v>
      </c>
      <c r="C692" t="s">
        <v>21</v>
      </c>
      <c r="D692" s="6">
        <f t="shared" si="10"/>
        <v>27102.36</v>
      </c>
      <c r="E692" s="5">
        <v>12</v>
      </c>
      <c r="F692" t="s">
        <v>35</v>
      </c>
      <c r="G692" s="6">
        <v>2971.75</v>
      </c>
      <c r="H692" t="s">
        <v>17</v>
      </c>
      <c r="I692" s="7">
        <v>0.24</v>
      </c>
      <c r="J692" t="s">
        <v>18</v>
      </c>
      <c r="K692" t="s">
        <v>19</v>
      </c>
    </row>
    <row r="693" spans="1:11" x14ac:dyDescent="0.25">
      <c r="A693" s="1" t="s">
        <v>64</v>
      </c>
      <c r="B693" t="s">
        <v>42</v>
      </c>
      <c r="C693" t="s">
        <v>21</v>
      </c>
      <c r="D693" s="6">
        <f t="shared" si="10"/>
        <v>17314.207999999999</v>
      </c>
      <c r="E693" s="5">
        <v>16</v>
      </c>
      <c r="F693" t="s">
        <v>16</v>
      </c>
      <c r="G693" s="6">
        <v>1258.3</v>
      </c>
      <c r="H693" t="s">
        <v>17</v>
      </c>
      <c r="I693" s="7">
        <v>0.14000000000000001</v>
      </c>
      <c r="J693" t="s">
        <v>27</v>
      </c>
      <c r="K693" t="s">
        <v>19</v>
      </c>
    </row>
    <row r="694" spans="1:11" x14ac:dyDescent="0.25">
      <c r="A694" s="1" t="s">
        <v>65</v>
      </c>
      <c r="B694" t="s">
        <v>24</v>
      </c>
      <c r="C694" t="s">
        <v>25</v>
      </c>
      <c r="D694" s="6">
        <f t="shared" si="10"/>
        <v>64484.595000000001</v>
      </c>
      <c r="E694" s="5">
        <v>42</v>
      </c>
      <c r="F694" t="s">
        <v>35</v>
      </c>
      <c r="G694" s="6">
        <v>2047.13</v>
      </c>
      <c r="H694" t="s">
        <v>30</v>
      </c>
      <c r="I694" s="7">
        <v>0.25</v>
      </c>
      <c r="J694" t="s">
        <v>18</v>
      </c>
      <c r="K694" t="s">
        <v>22</v>
      </c>
    </row>
    <row r="695" spans="1:11" x14ac:dyDescent="0.25">
      <c r="A695" s="1" t="s">
        <v>71</v>
      </c>
      <c r="B695" t="s">
        <v>24</v>
      </c>
      <c r="C695" t="s">
        <v>34</v>
      </c>
      <c r="D695" s="6">
        <f t="shared" si="10"/>
        <v>65276.1</v>
      </c>
      <c r="E695" s="5">
        <v>40</v>
      </c>
      <c r="F695" t="s">
        <v>26</v>
      </c>
      <c r="G695" s="6">
        <v>1875.75</v>
      </c>
      <c r="H695" t="s">
        <v>30</v>
      </c>
      <c r="I695" s="7">
        <v>0.13</v>
      </c>
      <c r="J695" t="s">
        <v>18</v>
      </c>
      <c r="K695" t="s">
        <v>22</v>
      </c>
    </row>
    <row r="696" spans="1:11" x14ac:dyDescent="0.25">
      <c r="A696" s="1" t="s">
        <v>64</v>
      </c>
      <c r="B696" t="s">
        <v>38</v>
      </c>
      <c r="C696" t="s">
        <v>21</v>
      </c>
      <c r="D696" s="6">
        <f t="shared" si="10"/>
        <v>134062.02599999998</v>
      </c>
      <c r="E696" s="5">
        <v>37</v>
      </c>
      <c r="F696" t="s">
        <v>35</v>
      </c>
      <c r="G696" s="6">
        <v>4313.45</v>
      </c>
      <c r="H696" t="s">
        <v>30</v>
      </c>
      <c r="I696" s="7">
        <v>0.16</v>
      </c>
      <c r="J696" t="s">
        <v>18</v>
      </c>
      <c r="K696" t="s">
        <v>19</v>
      </c>
    </row>
    <row r="697" spans="1:11" x14ac:dyDescent="0.25">
      <c r="A697" s="1" t="s">
        <v>64</v>
      </c>
      <c r="B697" t="s">
        <v>33</v>
      </c>
      <c r="C697" t="s">
        <v>15</v>
      </c>
      <c r="D697" s="6">
        <f t="shared" si="10"/>
        <v>37752.422400000003</v>
      </c>
      <c r="E697" s="5">
        <v>19</v>
      </c>
      <c r="F697" t="s">
        <v>35</v>
      </c>
      <c r="G697" s="6">
        <v>2257.92</v>
      </c>
      <c r="H697" t="s">
        <v>30</v>
      </c>
      <c r="I697" s="7">
        <v>0.12</v>
      </c>
      <c r="J697" t="s">
        <v>18</v>
      </c>
      <c r="K697" t="s">
        <v>22</v>
      </c>
    </row>
    <row r="698" spans="1:11" x14ac:dyDescent="0.25">
      <c r="A698" s="1" t="s">
        <v>64</v>
      </c>
      <c r="B698" t="s">
        <v>14</v>
      </c>
      <c r="C698" t="s">
        <v>21</v>
      </c>
      <c r="D698" s="6">
        <f t="shared" si="10"/>
        <v>59060.080799999996</v>
      </c>
      <c r="E698" s="5">
        <v>27</v>
      </c>
      <c r="F698" t="s">
        <v>35</v>
      </c>
      <c r="G698" s="6">
        <v>2604.06</v>
      </c>
      <c r="H698" t="s">
        <v>17</v>
      </c>
      <c r="I698" s="7">
        <v>0.16</v>
      </c>
      <c r="J698" t="s">
        <v>18</v>
      </c>
      <c r="K698" t="s">
        <v>19</v>
      </c>
    </row>
    <row r="699" spans="1:11" x14ac:dyDescent="0.25">
      <c r="A699" s="1" t="s">
        <v>64</v>
      </c>
      <c r="B699" t="s">
        <v>38</v>
      </c>
      <c r="C699" t="s">
        <v>21</v>
      </c>
      <c r="D699" s="6">
        <f t="shared" si="10"/>
        <v>84332.464000000007</v>
      </c>
      <c r="E699" s="5">
        <v>29</v>
      </c>
      <c r="F699" t="s">
        <v>35</v>
      </c>
      <c r="G699" s="6">
        <v>3635.02</v>
      </c>
      <c r="H699" t="s">
        <v>30</v>
      </c>
      <c r="I699" s="7">
        <v>0.2</v>
      </c>
      <c r="J699" t="s">
        <v>27</v>
      </c>
      <c r="K699" t="s">
        <v>22</v>
      </c>
    </row>
    <row r="700" spans="1:11" x14ac:dyDescent="0.25">
      <c r="A700" s="1" t="s">
        <v>64</v>
      </c>
      <c r="B700" t="s">
        <v>42</v>
      </c>
      <c r="C700" t="s">
        <v>34</v>
      </c>
      <c r="D700" s="6">
        <f t="shared" si="10"/>
        <v>8478.623999999978</v>
      </c>
      <c r="E700" s="5">
        <v>30</v>
      </c>
      <c r="F700" t="s">
        <v>26</v>
      </c>
      <c r="G700" s="6">
        <v>381.91999999999899</v>
      </c>
      <c r="H700" t="s">
        <v>17</v>
      </c>
      <c r="I700" s="7">
        <v>0.26</v>
      </c>
      <c r="J700" t="s">
        <v>18</v>
      </c>
      <c r="K700" t="s">
        <v>22</v>
      </c>
    </row>
    <row r="701" spans="1:11" x14ac:dyDescent="0.25">
      <c r="A701" s="1" t="s">
        <v>64</v>
      </c>
      <c r="B701" t="s">
        <v>33</v>
      </c>
      <c r="C701" t="s">
        <v>15</v>
      </c>
      <c r="D701" s="6">
        <f t="shared" si="10"/>
        <v>4643.9639999999999</v>
      </c>
      <c r="E701" s="5">
        <v>20</v>
      </c>
      <c r="F701" t="s">
        <v>29</v>
      </c>
      <c r="G701" s="6">
        <v>297.69</v>
      </c>
      <c r="H701" t="s">
        <v>30</v>
      </c>
      <c r="I701" s="7">
        <v>0.22</v>
      </c>
      <c r="J701" t="s">
        <v>18</v>
      </c>
      <c r="K701" t="s">
        <v>19</v>
      </c>
    </row>
    <row r="702" spans="1:11" x14ac:dyDescent="0.25">
      <c r="A702" s="1" t="s">
        <v>64</v>
      </c>
      <c r="B702" t="s">
        <v>42</v>
      </c>
      <c r="C702" t="s">
        <v>15</v>
      </c>
      <c r="D702" s="6">
        <f t="shared" si="10"/>
        <v>31947.966000000004</v>
      </c>
      <c r="E702" s="5">
        <v>23</v>
      </c>
      <c r="F702" t="s">
        <v>35</v>
      </c>
      <c r="G702" s="6">
        <v>1543.38</v>
      </c>
      <c r="H702" t="s">
        <v>30</v>
      </c>
      <c r="I702" s="7">
        <v>0.1</v>
      </c>
      <c r="J702" t="s">
        <v>27</v>
      </c>
      <c r="K702" t="s">
        <v>19</v>
      </c>
    </row>
    <row r="703" spans="1:11" x14ac:dyDescent="0.25">
      <c r="A703" s="1" t="s">
        <v>64</v>
      </c>
      <c r="B703" t="s">
        <v>38</v>
      </c>
      <c r="C703" t="s">
        <v>15</v>
      </c>
      <c r="D703" s="6">
        <f t="shared" si="10"/>
        <v>4981.6558000000005</v>
      </c>
      <c r="E703" s="5">
        <v>11</v>
      </c>
      <c r="F703" t="s">
        <v>35</v>
      </c>
      <c r="G703" s="6">
        <v>552.29</v>
      </c>
      <c r="H703" t="s">
        <v>17</v>
      </c>
      <c r="I703" s="7">
        <v>0.18</v>
      </c>
      <c r="J703" t="s">
        <v>18</v>
      </c>
      <c r="K703" t="s">
        <v>22</v>
      </c>
    </row>
    <row r="704" spans="1:11" x14ac:dyDescent="0.25">
      <c r="A704" s="1" t="s">
        <v>66</v>
      </c>
      <c r="B704" t="s">
        <v>24</v>
      </c>
      <c r="C704" t="s">
        <v>25</v>
      </c>
      <c r="D704" s="6">
        <f t="shared" si="10"/>
        <v>66292.296000000002</v>
      </c>
      <c r="E704" s="5">
        <v>35</v>
      </c>
      <c r="F704" t="s">
        <v>26</v>
      </c>
      <c r="G704" s="6">
        <v>2254.84</v>
      </c>
      <c r="H704" t="s">
        <v>30</v>
      </c>
      <c r="I704" s="7">
        <v>0.16</v>
      </c>
      <c r="J704" t="s">
        <v>31</v>
      </c>
      <c r="K704" t="s">
        <v>19</v>
      </c>
    </row>
    <row r="705" spans="1:11" x14ac:dyDescent="0.25">
      <c r="A705" s="1" t="s">
        <v>64</v>
      </c>
      <c r="B705" t="s">
        <v>14</v>
      </c>
      <c r="C705" t="s">
        <v>15</v>
      </c>
      <c r="D705" s="6">
        <f t="shared" si="10"/>
        <v>15548.7696</v>
      </c>
      <c r="E705" s="5">
        <v>7</v>
      </c>
      <c r="F705" t="s">
        <v>29</v>
      </c>
      <c r="G705" s="6">
        <v>2847.76</v>
      </c>
      <c r="H705" t="s">
        <v>30</v>
      </c>
      <c r="I705" s="7">
        <v>0.22</v>
      </c>
      <c r="J705" t="s">
        <v>18</v>
      </c>
      <c r="K705" t="s">
        <v>22</v>
      </c>
    </row>
    <row r="706" spans="1:11" x14ac:dyDescent="0.25">
      <c r="A706" s="1" t="s">
        <v>64</v>
      </c>
      <c r="B706" t="s">
        <v>14</v>
      </c>
      <c r="C706" t="s">
        <v>15</v>
      </c>
      <c r="D706" s="6">
        <f t="shared" ref="D706:D769" si="11">(Unit_Price*Qty_Sold)*(1-Discount)</f>
        <v>143312.96279999963</v>
      </c>
      <c r="E706" s="5">
        <v>42</v>
      </c>
      <c r="F706" t="s">
        <v>16</v>
      </c>
      <c r="G706" s="6">
        <v>3967.6899999999901</v>
      </c>
      <c r="H706" t="s">
        <v>30</v>
      </c>
      <c r="I706" s="7">
        <v>0.14000000000000001</v>
      </c>
      <c r="J706" t="s">
        <v>27</v>
      </c>
      <c r="K706" t="s">
        <v>19</v>
      </c>
    </row>
    <row r="707" spans="1:11" x14ac:dyDescent="0.25">
      <c r="A707" s="1" t="s">
        <v>64</v>
      </c>
      <c r="B707" t="s">
        <v>33</v>
      </c>
      <c r="C707" t="s">
        <v>15</v>
      </c>
      <c r="D707" s="6">
        <f t="shared" si="11"/>
        <v>7816.3670999999995</v>
      </c>
      <c r="E707" s="5">
        <v>17</v>
      </c>
      <c r="F707" t="s">
        <v>35</v>
      </c>
      <c r="G707" s="6">
        <v>528.49</v>
      </c>
      <c r="H707" t="s">
        <v>30</v>
      </c>
      <c r="I707" s="7">
        <v>0.13</v>
      </c>
      <c r="J707" t="s">
        <v>31</v>
      </c>
      <c r="K707" t="s">
        <v>19</v>
      </c>
    </row>
    <row r="708" spans="1:11" x14ac:dyDescent="0.25">
      <c r="A708" s="1" t="s">
        <v>68</v>
      </c>
      <c r="B708" t="s">
        <v>24</v>
      </c>
      <c r="C708" t="s">
        <v>34</v>
      </c>
      <c r="D708" s="6">
        <f t="shared" si="11"/>
        <v>66978.638999999806</v>
      </c>
      <c r="E708" s="5">
        <v>21</v>
      </c>
      <c r="F708" t="s">
        <v>29</v>
      </c>
      <c r="G708" s="6">
        <v>3254.5499999999902</v>
      </c>
      <c r="H708" t="s">
        <v>30</v>
      </c>
      <c r="I708" s="7">
        <v>0.02</v>
      </c>
      <c r="J708" t="s">
        <v>31</v>
      </c>
      <c r="K708" t="s">
        <v>22</v>
      </c>
    </row>
    <row r="709" spans="1:11" x14ac:dyDescent="0.25">
      <c r="A709" s="1" t="s">
        <v>64</v>
      </c>
      <c r="B709" t="s">
        <v>42</v>
      </c>
      <c r="C709" t="s">
        <v>34</v>
      </c>
      <c r="D709" s="6">
        <f t="shared" si="11"/>
        <v>50974.411799999994</v>
      </c>
      <c r="E709" s="5">
        <v>26</v>
      </c>
      <c r="F709" t="s">
        <v>35</v>
      </c>
      <c r="G709" s="6">
        <v>2202.87</v>
      </c>
      <c r="H709" t="s">
        <v>17</v>
      </c>
      <c r="I709" s="7">
        <v>0.11</v>
      </c>
      <c r="J709" t="s">
        <v>18</v>
      </c>
      <c r="K709" t="s">
        <v>19</v>
      </c>
    </row>
    <row r="710" spans="1:11" x14ac:dyDescent="0.25">
      <c r="A710" s="1" t="s">
        <v>64</v>
      </c>
      <c r="B710" t="s">
        <v>38</v>
      </c>
      <c r="C710" t="s">
        <v>34</v>
      </c>
      <c r="D710" s="6">
        <f t="shared" si="11"/>
        <v>132029.84399999998</v>
      </c>
      <c r="E710" s="5">
        <v>40</v>
      </c>
      <c r="F710" t="s">
        <v>29</v>
      </c>
      <c r="G710" s="6">
        <v>4521.57</v>
      </c>
      <c r="H710" t="s">
        <v>30</v>
      </c>
      <c r="I710" s="7">
        <v>0.27</v>
      </c>
      <c r="J710" t="s">
        <v>27</v>
      </c>
      <c r="K710" t="s">
        <v>22</v>
      </c>
    </row>
    <row r="711" spans="1:11" x14ac:dyDescent="0.25">
      <c r="A711" s="1" t="s">
        <v>69</v>
      </c>
      <c r="B711" t="s">
        <v>24</v>
      </c>
      <c r="C711" t="s">
        <v>15</v>
      </c>
      <c r="D711" s="6">
        <f t="shared" si="11"/>
        <v>67734.742199999993</v>
      </c>
      <c r="E711" s="5">
        <v>34</v>
      </c>
      <c r="F711" t="s">
        <v>16</v>
      </c>
      <c r="G711" s="6">
        <v>2521.77</v>
      </c>
      <c r="H711" t="s">
        <v>30</v>
      </c>
      <c r="I711" s="7">
        <v>0.21</v>
      </c>
      <c r="J711" t="s">
        <v>27</v>
      </c>
      <c r="K711" t="s">
        <v>22</v>
      </c>
    </row>
    <row r="712" spans="1:11" x14ac:dyDescent="0.25">
      <c r="A712" s="1" t="s">
        <v>64</v>
      </c>
      <c r="B712" t="s">
        <v>33</v>
      </c>
      <c r="C712" t="s">
        <v>21</v>
      </c>
      <c r="D712" s="6">
        <f t="shared" si="11"/>
        <v>62071.2284</v>
      </c>
      <c r="E712" s="5">
        <v>41</v>
      </c>
      <c r="F712" t="s">
        <v>29</v>
      </c>
      <c r="G712" s="6">
        <v>2073.88</v>
      </c>
      <c r="H712" t="s">
        <v>17</v>
      </c>
      <c r="I712" s="7">
        <v>0.27</v>
      </c>
      <c r="J712" t="s">
        <v>18</v>
      </c>
      <c r="K712" t="s">
        <v>22</v>
      </c>
    </row>
    <row r="713" spans="1:11" x14ac:dyDescent="0.25">
      <c r="A713" s="1" t="s">
        <v>64</v>
      </c>
      <c r="B713" t="s">
        <v>33</v>
      </c>
      <c r="C713" t="s">
        <v>25</v>
      </c>
      <c r="D713" s="6">
        <f t="shared" si="11"/>
        <v>34808.576000000001</v>
      </c>
      <c r="E713" s="5">
        <v>32</v>
      </c>
      <c r="F713" t="s">
        <v>26</v>
      </c>
      <c r="G713" s="6">
        <v>1236.0999999999999</v>
      </c>
      <c r="H713" t="s">
        <v>30</v>
      </c>
      <c r="I713" s="7">
        <v>0.12</v>
      </c>
      <c r="J713" t="s">
        <v>31</v>
      </c>
      <c r="K713" t="s">
        <v>19</v>
      </c>
    </row>
    <row r="714" spans="1:11" x14ac:dyDescent="0.25">
      <c r="A714" s="1" t="s">
        <v>64</v>
      </c>
      <c r="B714" t="s">
        <v>14</v>
      </c>
      <c r="C714" t="s">
        <v>21</v>
      </c>
      <c r="D714" s="6">
        <f t="shared" si="11"/>
        <v>131699.568</v>
      </c>
      <c r="E714" s="5">
        <v>40</v>
      </c>
      <c r="F714" t="s">
        <v>16</v>
      </c>
      <c r="G714" s="6">
        <v>4275.96</v>
      </c>
      <c r="H714" t="s">
        <v>30</v>
      </c>
      <c r="I714" s="7">
        <v>0.23</v>
      </c>
      <c r="J714" t="s">
        <v>31</v>
      </c>
      <c r="K714" t="s">
        <v>19</v>
      </c>
    </row>
    <row r="715" spans="1:11" x14ac:dyDescent="0.25">
      <c r="A715" s="1" t="s">
        <v>64</v>
      </c>
      <c r="B715" t="s">
        <v>14</v>
      </c>
      <c r="C715" t="s">
        <v>25</v>
      </c>
      <c r="D715" s="6">
        <f t="shared" si="11"/>
        <v>22428.358400000001</v>
      </c>
      <c r="E715" s="5">
        <v>28</v>
      </c>
      <c r="F715" t="s">
        <v>29</v>
      </c>
      <c r="G715" s="6">
        <v>817.36</v>
      </c>
      <c r="H715" t="s">
        <v>17</v>
      </c>
      <c r="I715" s="7">
        <v>0.02</v>
      </c>
      <c r="J715" t="s">
        <v>18</v>
      </c>
      <c r="K715" t="s">
        <v>22</v>
      </c>
    </row>
    <row r="716" spans="1:11" x14ac:dyDescent="0.25">
      <c r="A716" s="1" t="s">
        <v>64</v>
      </c>
      <c r="B716" t="s">
        <v>14</v>
      </c>
      <c r="C716" t="s">
        <v>34</v>
      </c>
      <c r="D716" s="6">
        <f t="shared" si="11"/>
        <v>51921.923199999896</v>
      </c>
      <c r="E716" s="5">
        <v>14</v>
      </c>
      <c r="F716" t="s">
        <v>26</v>
      </c>
      <c r="G716" s="6">
        <v>4879.8799999999901</v>
      </c>
      <c r="H716" t="s">
        <v>30</v>
      </c>
      <c r="I716" s="7">
        <v>0.24</v>
      </c>
      <c r="J716" t="s">
        <v>27</v>
      </c>
      <c r="K716" t="s">
        <v>22</v>
      </c>
    </row>
    <row r="717" spans="1:11" x14ac:dyDescent="0.25">
      <c r="A717" s="1" t="s">
        <v>64</v>
      </c>
      <c r="B717" t="s">
        <v>14</v>
      </c>
      <c r="C717" t="s">
        <v>34</v>
      </c>
      <c r="D717" s="6">
        <f t="shared" si="11"/>
        <v>90314.752499999609</v>
      </c>
      <c r="E717" s="5">
        <v>45</v>
      </c>
      <c r="F717" t="s">
        <v>29</v>
      </c>
      <c r="G717" s="6">
        <v>2255.0499999999902</v>
      </c>
      <c r="H717" t="s">
        <v>30</v>
      </c>
      <c r="I717" s="7">
        <v>0.11</v>
      </c>
      <c r="J717" t="s">
        <v>27</v>
      </c>
      <c r="K717" t="s">
        <v>22</v>
      </c>
    </row>
    <row r="718" spans="1:11" x14ac:dyDescent="0.25">
      <c r="A718" s="1" t="s">
        <v>64</v>
      </c>
      <c r="B718" t="s">
        <v>14</v>
      </c>
      <c r="C718" t="s">
        <v>25</v>
      </c>
      <c r="D718" s="6">
        <f t="shared" si="11"/>
        <v>69396.633600000001</v>
      </c>
      <c r="E718" s="5">
        <v>16</v>
      </c>
      <c r="F718" t="s">
        <v>35</v>
      </c>
      <c r="G718" s="6">
        <v>5043.3599999999997</v>
      </c>
      <c r="H718" t="s">
        <v>17</v>
      </c>
      <c r="I718" s="7">
        <v>0.14000000000000001</v>
      </c>
      <c r="J718" t="s">
        <v>31</v>
      </c>
      <c r="K718" t="s">
        <v>22</v>
      </c>
    </row>
    <row r="719" spans="1:11" x14ac:dyDescent="0.25">
      <c r="A719" s="1" t="s">
        <v>64</v>
      </c>
      <c r="B719" t="s">
        <v>38</v>
      </c>
      <c r="C719" t="s">
        <v>15</v>
      </c>
      <c r="D719" s="6">
        <f t="shared" si="11"/>
        <v>20121.254400000002</v>
      </c>
      <c r="E719" s="5">
        <v>32</v>
      </c>
      <c r="F719" t="s">
        <v>35</v>
      </c>
      <c r="G719" s="6">
        <v>806.14</v>
      </c>
      <c r="H719" t="s">
        <v>17</v>
      </c>
      <c r="I719" s="7">
        <v>0.22</v>
      </c>
      <c r="J719" t="s">
        <v>31</v>
      </c>
      <c r="K719" t="s">
        <v>22</v>
      </c>
    </row>
    <row r="720" spans="1:11" x14ac:dyDescent="0.25">
      <c r="A720" s="1" t="s">
        <v>64</v>
      </c>
      <c r="B720" t="s">
        <v>38</v>
      </c>
      <c r="C720" t="s">
        <v>15</v>
      </c>
      <c r="D720" s="6">
        <f t="shared" si="11"/>
        <v>40757.714999999997</v>
      </c>
      <c r="E720" s="5">
        <v>9</v>
      </c>
      <c r="F720" t="s">
        <v>35</v>
      </c>
      <c r="G720" s="6">
        <v>4869.5</v>
      </c>
      <c r="H720" t="s">
        <v>30</v>
      </c>
      <c r="I720" s="7">
        <v>7.0000000000000007E-2</v>
      </c>
      <c r="J720" t="s">
        <v>18</v>
      </c>
      <c r="K720" t="s">
        <v>19</v>
      </c>
    </row>
    <row r="721" spans="1:11" x14ac:dyDescent="0.25">
      <c r="A721" s="1" t="s">
        <v>64</v>
      </c>
      <c r="B721" t="s">
        <v>42</v>
      </c>
      <c r="C721" t="s">
        <v>21</v>
      </c>
      <c r="D721" s="6">
        <f t="shared" si="11"/>
        <v>134178.35199999998</v>
      </c>
      <c r="E721" s="5">
        <v>44</v>
      </c>
      <c r="F721" t="s">
        <v>16</v>
      </c>
      <c r="G721" s="6">
        <v>3465.35</v>
      </c>
      <c r="H721" t="s">
        <v>17</v>
      </c>
      <c r="I721" s="7">
        <v>0.12</v>
      </c>
      <c r="J721" t="s">
        <v>27</v>
      </c>
      <c r="K721" t="s">
        <v>19</v>
      </c>
    </row>
    <row r="722" spans="1:11" x14ac:dyDescent="0.25">
      <c r="A722" s="1" t="s">
        <v>64</v>
      </c>
      <c r="B722" t="s">
        <v>42</v>
      </c>
      <c r="C722" t="s">
        <v>25</v>
      </c>
      <c r="D722" s="6">
        <f t="shared" si="11"/>
        <v>18749.520999999997</v>
      </c>
      <c r="E722" s="5">
        <v>17</v>
      </c>
      <c r="F722" t="s">
        <v>35</v>
      </c>
      <c r="G722" s="6">
        <v>1575.59</v>
      </c>
      <c r="H722" t="s">
        <v>30</v>
      </c>
      <c r="I722" s="7">
        <v>0.3</v>
      </c>
      <c r="J722" t="s">
        <v>18</v>
      </c>
      <c r="K722" t="s">
        <v>19</v>
      </c>
    </row>
    <row r="723" spans="1:11" x14ac:dyDescent="0.25">
      <c r="A723" s="1" t="s">
        <v>72</v>
      </c>
      <c r="B723" t="s">
        <v>24</v>
      </c>
      <c r="C723" t="s">
        <v>25</v>
      </c>
      <c r="D723" s="6">
        <f t="shared" si="11"/>
        <v>68128.199999999779</v>
      </c>
      <c r="E723" s="5">
        <v>30</v>
      </c>
      <c r="F723" t="s">
        <v>26</v>
      </c>
      <c r="G723" s="6">
        <v>3027.9199999999901</v>
      </c>
      <c r="H723" t="s">
        <v>17</v>
      </c>
      <c r="I723" s="7">
        <v>0.25</v>
      </c>
      <c r="J723" t="s">
        <v>27</v>
      </c>
      <c r="K723" t="s">
        <v>19</v>
      </c>
    </row>
    <row r="724" spans="1:11" x14ac:dyDescent="0.25">
      <c r="A724" s="1" t="s">
        <v>64</v>
      </c>
      <c r="B724" t="s">
        <v>38</v>
      </c>
      <c r="C724" t="s">
        <v>25</v>
      </c>
      <c r="D724" s="6">
        <f t="shared" si="11"/>
        <v>111925.04399999999</v>
      </c>
      <c r="E724" s="5">
        <v>27</v>
      </c>
      <c r="F724" t="s">
        <v>29</v>
      </c>
      <c r="G724" s="6">
        <v>4820.2</v>
      </c>
      <c r="H724" t="s">
        <v>30</v>
      </c>
      <c r="I724" s="7">
        <v>0.14000000000000001</v>
      </c>
      <c r="J724" t="s">
        <v>31</v>
      </c>
      <c r="K724" t="s">
        <v>22</v>
      </c>
    </row>
    <row r="725" spans="1:11" x14ac:dyDescent="0.25">
      <c r="A725" s="1" t="s">
        <v>64</v>
      </c>
      <c r="B725" t="s">
        <v>33</v>
      </c>
      <c r="C725" t="s">
        <v>15</v>
      </c>
      <c r="D725" s="6">
        <f t="shared" si="11"/>
        <v>12438.287999999931</v>
      </c>
      <c r="E725" s="5">
        <v>8</v>
      </c>
      <c r="F725" t="s">
        <v>16</v>
      </c>
      <c r="G725" s="6">
        <v>1829.1599999999901</v>
      </c>
      <c r="H725" t="s">
        <v>17</v>
      </c>
      <c r="I725" s="7">
        <v>0.15</v>
      </c>
      <c r="J725" t="s">
        <v>18</v>
      </c>
      <c r="K725" t="s">
        <v>19</v>
      </c>
    </row>
    <row r="726" spans="1:11" x14ac:dyDescent="0.25">
      <c r="A726" s="1" t="s">
        <v>64</v>
      </c>
      <c r="B726" t="s">
        <v>38</v>
      </c>
      <c r="C726" t="s">
        <v>25</v>
      </c>
      <c r="D726" s="6">
        <f t="shared" si="11"/>
        <v>2083.482</v>
      </c>
      <c r="E726" s="5">
        <v>6</v>
      </c>
      <c r="F726" t="s">
        <v>26</v>
      </c>
      <c r="G726" s="6">
        <v>385.83</v>
      </c>
      <c r="H726" t="s">
        <v>17</v>
      </c>
      <c r="I726" s="7">
        <v>0.1</v>
      </c>
      <c r="J726" t="s">
        <v>18</v>
      </c>
      <c r="K726" t="s">
        <v>22</v>
      </c>
    </row>
    <row r="727" spans="1:11" x14ac:dyDescent="0.25">
      <c r="A727" s="1" t="s">
        <v>64</v>
      </c>
      <c r="B727" t="s">
        <v>33</v>
      </c>
      <c r="C727" t="s">
        <v>21</v>
      </c>
      <c r="D727" s="6">
        <f t="shared" si="11"/>
        <v>129796.69499999999</v>
      </c>
      <c r="E727" s="5">
        <v>45</v>
      </c>
      <c r="F727" t="s">
        <v>29</v>
      </c>
      <c r="G727" s="6">
        <v>3036.18</v>
      </c>
      <c r="H727" t="s">
        <v>30</v>
      </c>
      <c r="I727" s="7">
        <v>0.05</v>
      </c>
      <c r="J727" t="s">
        <v>27</v>
      </c>
      <c r="K727" t="s">
        <v>22</v>
      </c>
    </row>
    <row r="728" spans="1:11" x14ac:dyDescent="0.25">
      <c r="A728" s="1" t="s">
        <v>64</v>
      </c>
      <c r="B728" t="s">
        <v>33</v>
      </c>
      <c r="C728" t="s">
        <v>25</v>
      </c>
      <c r="D728" s="6">
        <f t="shared" si="11"/>
        <v>58269.942499999808</v>
      </c>
      <c r="E728" s="5">
        <v>25</v>
      </c>
      <c r="F728" t="s">
        <v>26</v>
      </c>
      <c r="G728" s="6">
        <v>3027.0099999999902</v>
      </c>
      <c r="H728" t="s">
        <v>30</v>
      </c>
      <c r="I728" s="7">
        <v>0.23</v>
      </c>
      <c r="J728" t="s">
        <v>18</v>
      </c>
      <c r="K728" t="s">
        <v>19</v>
      </c>
    </row>
    <row r="729" spans="1:11" x14ac:dyDescent="0.25">
      <c r="A729" s="1" t="s">
        <v>64</v>
      </c>
      <c r="B729" t="s">
        <v>42</v>
      </c>
      <c r="C729" t="s">
        <v>15</v>
      </c>
      <c r="D729" s="6">
        <f t="shared" si="11"/>
        <v>18713.903999999999</v>
      </c>
      <c r="E729" s="5">
        <v>30</v>
      </c>
      <c r="F729" t="s">
        <v>16</v>
      </c>
      <c r="G729" s="6">
        <v>678.04</v>
      </c>
      <c r="H729" t="s">
        <v>17</v>
      </c>
      <c r="I729" s="7">
        <v>0.08</v>
      </c>
      <c r="J729" t="s">
        <v>18</v>
      </c>
      <c r="K729" t="s">
        <v>22</v>
      </c>
    </row>
    <row r="730" spans="1:11" x14ac:dyDescent="0.25">
      <c r="A730" s="1" t="s">
        <v>64</v>
      </c>
      <c r="B730" t="s">
        <v>14</v>
      </c>
      <c r="C730" t="s">
        <v>15</v>
      </c>
      <c r="D730" s="6">
        <f t="shared" si="11"/>
        <v>54262.571999999716</v>
      </c>
      <c r="E730" s="5">
        <v>37</v>
      </c>
      <c r="F730" t="s">
        <v>29</v>
      </c>
      <c r="G730" s="6">
        <v>1856.3999999999901</v>
      </c>
      <c r="H730" t="s">
        <v>30</v>
      </c>
      <c r="I730" s="7">
        <v>0.21</v>
      </c>
      <c r="J730" t="s">
        <v>27</v>
      </c>
      <c r="K730" t="s">
        <v>22</v>
      </c>
    </row>
    <row r="731" spans="1:11" x14ac:dyDescent="0.25">
      <c r="A731" s="1" t="s">
        <v>69</v>
      </c>
      <c r="B731" t="s">
        <v>33</v>
      </c>
      <c r="C731" t="s">
        <v>21</v>
      </c>
      <c r="D731" s="6">
        <f t="shared" si="11"/>
        <v>42005.4444</v>
      </c>
      <c r="E731" s="5">
        <v>18</v>
      </c>
      <c r="F731" t="s">
        <v>29</v>
      </c>
      <c r="G731" s="6">
        <v>2682.34</v>
      </c>
      <c r="H731" t="s">
        <v>30</v>
      </c>
      <c r="I731" s="7">
        <v>0.13</v>
      </c>
      <c r="J731" t="s">
        <v>27</v>
      </c>
      <c r="K731" t="s">
        <v>19</v>
      </c>
    </row>
    <row r="732" spans="1:11" x14ac:dyDescent="0.25">
      <c r="A732" s="1" t="s">
        <v>69</v>
      </c>
      <c r="B732" t="s">
        <v>14</v>
      </c>
      <c r="C732" t="s">
        <v>15</v>
      </c>
      <c r="D732" s="6">
        <f t="shared" si="11"/>
        <v>19193.903999999999</v>
      </c>
      <c r="E732" s="5">
        <v>48</v>
      </c>
      <c r="F732" t="s">
        <v>16</v>
      </c>
      <c r="G732" s="6">
        <v>487.65</v>
      </c>
      <c r="H732" t="s">
        <v>30</v>
      </c>
      <c r="I732" s="7">
        <v>0.18</v>
      </c>
      <c r="J732" t="s">
        <v>18</v>
      </c>
      <c r="K732" t="s">
        <v>22</v>
      </c>
    </row>
    <row r="733" spans="1:11" x14ac:dyDescent="0.25">
      <c r="A733" s="1" t="s">
        <v>69</v>
      </c>
      <c r="B733" t="s">
        <v>14</v>
      </c>
      <c r="C733" t="s">
        <v>34</v>
      </c>
      <c r="D733" s="6">
        <f t="shared" si="11"/>
        <v>181236.6</v>
      </c>
      <c r="E733" s="5">
        <v>40</v>
      </c>
      <c r="F733" t="s">
        <v>35</v>
      </c>
      <c r="G733" s="6">
        <v>5034.3500000000004</v>
      </c>
      <c r="H733" t="s">
        <v>30</v>
      </c>
      <c r="I733" s="7">
        <v>0.1</v>
      </c>
      <c r="J733" t="s">
        <v>31</v>
      </c>
      <c r="K733" t="s">
        <v>22</v>
      </c>
    </row>
    <row r="734" spans="1:11" x14ac:dyDescent="0.25">
      <c r="A734" s="1" t="s">
        <v>71</v>
      </c>
      <c r="B734" t="s">
        <v>24</v>
      </c>
      <c r="C734" t="s">
        <v>15</v>
      </c>
      <c r="D734" s="6">
        <f t="shared" si="11"/>
        <v>68326.054000000004</v>
      </c>
      <c r="E734" s="5">
        <v>43</v>
      </c>
      <c r="F734" t="s">
        <v>35</v>
      </c>
      <c r="G734" s="6">
        <v>1727.15</v>
      </c>
      <c r="H734" t="s">
        <v>30</v>
      </c>
      <c r="I734" s="7">
        <v>0.08</v>
      </c>
      <c r="J734" t="s">
        <v>18</v>
      </c>
      <c r="K734" t="s">
        <v>22</v>
      </c>
    </row>
    <row r="735" spans="1:11" x14ac:dyDescent="0.25">
      <c r="A735" s="1" t="s">
        <v>69</v>
      </c>
      <c r="B735" t="s">
        <v>24</v>
      </c>
      <c r="C735" t="s">
        <v>21</v>
      </c>
      <c r="D735" s="6">
        <f t="shared" si="11"/>
        <v>69467.066100000011</v>
      </c>
      <c r="E735" s="5">
        <v>31</v>
      </c>
      <c r="F735" t="s">
        <v>29</v>
      </c>
      <c r="G735" s="6">
        <v>2766.51</v>
      </c>
      <c r="H735" t="s">
        <v>30</v>
      </c>
      <c r="I735" s="7">
        <v>0.19</v>
      </c>
      <c r="J735" t="s">
        <v>18</v>
      </c>
      <c r="K735" t="s">
        <v>22</v>
      </c>
    </row>
    <row r="736" spans="1:11" x14ac:dyDescent="0.25">
      <c r="A736" s="1" t="s">
        <v>69</v>
      </c>
      <c r="B736" t="s">
        <v>24</v>
      </c>
      <c r="C736" t="s">
        <v>34</v>
      </c>
      <c r="D736" s="6">
        <f t="shared" si="11"/>
        <v>69921.2696</v>
      </c>
      <c r="E736" s="5">
        <v>46</v>
      </c>
      <c r="F736" t="s">
        <v>35</v>
      </c>
      <c r="G736" s="6">
        <v>1670.36</v>
      </c>
      <c r="H736" t="s">
        <v>17</v>
      </c>
      <c r="I736" s="7">
        <v>0.09</v>
      </c>
      <c r="J736" t="s">
        <v>31</v>
      </c>
      <c r="K736" t="s">
        <v>22</v>
      </c>
    </row>
    <row r="737" spans="1:11" x14ac:dyDescent="0.25">
      <c r="A737" s="1" t="s">
        <v>69</v>
      </c>
      <c r="B737" t="s">
        <v>14</v>
      </c>
      <c r="C737" t="s">
        <v>21</v>
      </c>
      <c r="D737" s="6">
        <f t="shared" si="11"/>
        <v>71563.557000000001</v>
      </c>
      <c r="E737" s="5">
        <v>46</v>
      </c>
      <c r="F737" t="s">
        <v>29</v>
      </c>
      <c r="G737" s="6">
        <v>1830.27</v>
      </c>
      <c r="H737" t="s">
        <v>30</v>
      </c>
      <c r="I737" s="7">
        <v>0.15</v>
      </c>
      <c r="J737" t="s">
        <v>27</v>
      </c>
      <c r="K737" t="s">
        <v>22</v>
      </c>
    </row>
    <row r="738" spans="1:11" x14ac:dyDescent="0.25">
      <c r="A738" s="1" t="s">
        <v>69</v>
      </c>
      <c r="B738" t="s">
        <v>38</v>
      </c>
      <c r="C738" t="s">
        <v>21</v>
      </c>
      <c r="D738" s="6">
        <f t="shared" si="11"/>
        <v>32979.972000000002</v>
      </c>
      <c r="E738" s="5">
        <v>24</v>
      </c>
      <c r="F738" t="s">
        <v>35</v>
      </c>
      <c r="G738" s="6">
        <v>1739.45</v>
      </c>
      <c r="H738" t="s">
        <v>17</v>
      </c>
      <c r="I738" s="7">
        <v>0.21</v>
      </c>
      <c r="J738" t="s">
        <v>27</v>
      </c>
      <c r="K738" t="s">
        <v>22</v>
      </c>
    </row>
    <row r="739" spans="1:11" x14ac:dyDescent="0.25">
      <c r="A739" s="1" t="s">
        <v>69</v>
      </c>
      <c r="B739" t="s">
        <v>38</v>
      </c>
      <c r="C739" t="s">
        <v>21</v>
      </c>
      <c r="D739" s="6">
        <f t="shared" si="11"/>
        <v>36002.243199999997</v>
      </c>
      <c r="E739" s="5">
        <v>16</v>
      </c>
      <c r="F739" t="s">
        <v>16</v>
      </c>
      <c r="G739" s="6">
        <v>3040.73</v>
      </c>
      <c r="H739" t="s">
        <v>30</v>
      </c>
      <c r="I739" s="7">
        <v>0.26</v>
      </c>
      <c r="J739" t="s">
        <v>27</v>
      </c>
      <c r="K739" t="s">
        <v>22</v>
      </c>
    </row>
    <row r="740" spans="1:11" x14ac:dyDescent="0.25">
      <c r="A740" s="1" t="s">
        <v>69</v>
      </c>
      <c r="B740" t="s">
        <v>33</v>
      </c>
      <c r="C740" t="s">
        <v>25</v>
      </c>
      <c r="D740" s="6">
        <f t="shared" si="11"/>
        <v>193241.34900000002</v>
      </c>
      <c r="E740" s="5">
        <v>45</v>
      </c>
      <c r="F740" t="s">
        <v>29</v>
      </c>
      <c r="G740" s="6">
        <v>4381.8900000000003</v>
      </c>
      <c r="H740" t="s">
        <v>17</v>
      </c>
      <c r="I740" s="7">
        <v>0.02</v>
      </c>
      <c r="J740" t="s">
        <v>31</v>
      </c>
      <c r="K740" t="s">
        <v>22</v>
      </c>
    </row>
    <row r="741" spans="1:11" x14ac:dyDescent="0.25">
      <c r="A741" s="1" t="s">
        <v>64</v>
      </c>
      <c r="B741" t="s">
        <v>24</v>
      </c>
      <c r="C741" t="s">
        <v>34</v>
      </c>
      <c r="D741" s="6">
        <f t="shared" si="11"/>
        <v>70515.517600000006</v>
      </c>
      <c r="E741" s="5">
        <v>22</v>
      </c>
      <c r="F741" t="s">
        <v>26</v>
      </c>
      <c r="G741" s="6">
        <v>4331.42</v>
      </c>
      <c r="H741" t="s">
        <v>30</v>
      </c>
      <c r="I741" s="7">
        <v>0.26</v>
      </c>
      <c r="J741" t="s">
        <v>27</v>
      </c>
      <c r="K741" t="s">
        <v>19</v>
      </c>
    </row>
    <row r="742" spans="1:11" x14ac:dyDescent="0.25">
      <c r="A742" s="1" t="s">
        <v>69</v>
      </c>
      <c r="B742" t="s">
        <v>33</v>
      </c>
      <c r="C742" t="s">
        <v>15</v>
      </c>
      <c r="D742" s="6">
        <f t="shared" si="11"/>
        <v>122385.9798</v>
      </c>
      <c r="E742" s="5">
        <v>42</v>
      </c>
      <c r="F742" t="s">
        <v>35</v>
      </c>
      <c r="G742" s="6">
        <v>3349.37</v>
      </c>
      <c r="H742" t="s">
        <v>17</v>
      </c>
      <c r="I742" s="7">
        <v>0.13</v>
      </c>
      <c r="J742" t="s">
        <v>31</v>
      </c>
      <c r="K742" t="s">
        <v>22</v>
      </c>
    </row>
    <row r="743" spans="1:11" x14ac:dyDescent="0.25">
      <c r="A743" s="1" t="s">
        <v>69</v>
      </c>
      <c r="B743" t="s">
        <v>33</v>
      </c>
      <c r="C743" t="s">
        <v>15</v>
      </c>
      <c r="D743" s="6">
        <f t="shared" si="11"/>
        <v>67097.994300000006</v>
      </c>
      <c r="E743" s="5">
        <v>23</v>
      </c>
      <c r="F743" t="s">
        <v>26</v>
      </c>
      <c r="G743" s="6">
        <v>3007.53</v>
      </c>
      <c r="H743" t="s">
        <v>17</v>
      </c>
      <c r="I743" s="7">
        <v>0.03</v>
      </c>
      <c r="J743" t="s">
        <v>18</v>
      </c>
      <c r="K743" t="s">
        <v>22</v>
      </c>
    </row>
    <row r="744" spans="1:11" x14ac:dyDescent="0.25">
      <c r="A744" s="1" t="s">
        <v>69</v>
      </c>
      <c r="B744" t="s">
        <v>33</v>
      </c>
      <c r="C744" t="s">
        <v>15</v>
      </c>
      <c r="D744" s="6">
        <f t="shared" si="11"/>
        <v>3363.8920000000003</v>
      </c>
      <c r="E744" s="5">
        <v>4</v>
      </c>
      <c r="F744" t="s">
        <v>29</v>
      </c>
      <c r="G744" s="6">
        <v>1201.3900000000001</v>
      </c>
      <c r="H744" t="s">
        <v>30</v>
      </c>
      <c r="I744" s="7">
        <v>0.3</v>
      </c>
      <c r="J744" t="s">
        <v>27</v>
      </c>
      <c r="K744" t="s">
        <v>22</v>
      </c>
    </row>
    <row r="745" spans="1:11" x14ac:dyDescent="0.25">
      <c r="A745" s="1" t="s">
        <v>69</v>
      </c>
      <c r="B745" t="s">
        <v>24</v>
      </c>
      <c r="C745" t="s">
        <v>21</v>
      </c>
      <c r="D745" s="6">
        <f t="shared" si="11"/>
        <v>70565.788799999995</v>
      </c>
      <c r="E745" s="5">
        <v>41</v>
      </c>
      <c r="F745" t="s">
        <v>35</v>
      </c>
      <c r="G745" s="6">
        <v>1792.83</v>
      </c>
      <c r="H745" t="s">
        <v>30</v>
      </c>
      <c r="I745" s="7">
        <v>0.04</v>
      </c>
      <c r="J745" t="s">
        <v>18</v>
      </c>
      <c r="K745" t="s">
        <v>22</v>
      </c>
    </row>
    <row r="746" spans="1:11" x14ac:dyDescent="0.25">
      <c r="A746" s="1" t="s">
        <v>69</v>
      </c>
      <c r="B746" t="s">
        <v>42</v>
      </c>
      <c r="C746" t="s">
        <v>21</v>
      </c>
      <c r="D746" s="6">
        <f t="shared" si="11"/>
        <v>69386.941799999986</v>
      </c>
      <c r="E746" s="5">
        <v>22</v>
      </c>
      <c r="F746" t="s">
        <v>35</v>
      </c>
      <c r="G746" s="6">
        <v>3185.81</v>
      </c>
      <c r="H746" t="s">
        <v>30</v>
      </c>
      <c r="I746" s="7">
        <v>0.01</v>
      </c>
      <c r="J746" t="s">
        <v>27</v>
      </c>
      <c r="K746" t="s">
        <v>19</v>
      </c>
    </row>
    <row r="747" spans="1:11" x14ac:dyDescent="0.25">
      <c r="A747" s="1" t="s">
        <v>69</v>
      </c>
      <c r="B747" t="s">
        <v>38</v>
      </c>
      <c r="C747" t="s">
        <v>21</v>
      </c>
      <c r="D747" s="6">
        <f t="shared" si="11"/>
        <v>44212.343400000005</v>
      </c>
      <c r="E747" s="5">
        <v>23</v>
      </c>
      <c r="F747" t="s">
        <v>26</v>
      </c>
      <c r="G747" s="6">
        <v>2597.67</v>
      </c>
      <c r="H747" t="s">
        <v>17</v>
      </c>
      <c r="I747" s="7">
        <v>0.26</v>
      </c>
      <c r="J747" t="s">
        <v>31</v>
      </c>
      <c r="K747" t="s">
        <v>22</v>
      </c>
    </row>
    <row r="748" spans="1:11" x14ac:dyDescent="0.25">
      <c r="A748" s="1" t="s">
        <v>69</v>
      </c>
      <c r="B748" t="s">
        <v>14</v>
      </c>
      <c r="C748" t="s">
        <v>34</v>
      </c>
      <c r="D748" s="6">
        <f t="shared" si="11"/>
        <v>6427.9139999999688</v>
      </c>
      <c r="E748" s="5">
        <v>4</v>
      </c>
      <c r="F748" t="s">
        <v>35</v>
      </c>
      <c r="G748" s="6">
        <v>2034.1499999999901</v>
      </c>
      <c r="H748" t="s">
        <v>17</v>
      </c>
      <c r="I748" s="7">
        <v>0.21</v>
      </c>
      <c r="J748" t="s">
        <v>18</v>
      </c>
      <c r="K748" t="s">
        <v>19</v>
      </c>
    </row>
    <row r="749" spans="1:11" x14ac:dyDescent="0.25">
      <c r="A749" s="1" t="s">
        <v>69</v>
      </c>
      <c r="B749" t="s">
        <v>42</v>
      </c>
      <c r="C749" t="s">
        <v>34</v>
      </c>
      <c r="D749" s="6">
        <f t="shared" si="11"/>
        <v>129442.98150000001</v>
      </c>
      <c r="E749" s="5">
        <v>27</v>
      </c>
      <c r="F749" t="s">
        <v>35</v>
      </c>
      <c r="G749" s="6">
        <v>5046.51</v>
      </c>
      <c r="H749" t="s">
        <v>17</v>
      </c>
      <c r="I749" s="7">
        <v>0.05</v>
      </c>
      <c r="J749" t="s">
        <v>31</v>
      </c>
      <c r="K749" t="s">
        <v>22</v>
      </c>
    </row>
    <row r="750" spans="1:11" x14ac:dyDescent="0.25">
      <c r="A750" s="1" t="s">
        <v>72</v>
      </c>
      <c r="B750" t="s">
        <v>24</v>
      </c>
      <c r="C750" t="s">
        <v>15</v>
      </c>
      <c r="D750" s="6">
        <f t="shared" si="11"/>
        <v>72136.847999999984</v>
      </c>
      <c r="E750" s="5">
        <v>17</v>
      </c>
      <c r="F750" t="s">
        <v>16</v>
      </c>
      <c r="G750" s="6">
        <v>4420.1499999999996</v>
      </c>
      <c r="H750" t="s">
        <v>17</v>
      </c>
      <c r="I750" s="7">
        <v>0.04</v>
      </c>
      <c r="J750" t="s">
        <v>18</v>
      </c>
      <c r="K750" t="s">
        <v>19</v>
      </c>
    </row>
    <row r="751" spans="1:11" x14ac:dyDescent="0.25">
      <c r="A751" s="1" t="s">
        <v>69</v>
      </c>
      <c r="B751" t="s">
        <v>38</v>
      </c>
      <c r="C751" t="s">
        <v>21</v>
      </c>
      <c r="D751" s="6">
        <f t="shared" si="11"/>
        <v>196658.2464</v>
      </c>
      <c r="E751" s="5">
        <v>49</v>
      </c>
      <c r="F751" t="s">
        <v>35</v>
      </c>
      <c r="G751" s="6">
        <v>4315.5200000000004</v>
      </c>
      <c r="H751" t="s">
        <v>30</v>
      </c>
      <c r="I751" s="7">
        <v>7.0000000000000007E-2</v>
      </c>
      <c r="J751" t="s">
        <v>18</v>
      </c>
      <c r="K751" t="s">
        <v>22</v>
      </c>
    </row>
    <row r="752" spans="1:11" x14ac:dyDescent="0.25">
      <c r="A752" s="1" t="s">
        <v>69</v>
      </c>
      <c r="B752" t="s">
        <v>33</v>
      </c>
      <c r="C752" t="s">
        <v>15</v>
      </c>
      <c r="D752" s="6">
        <f t="shared" si="11"/>
        <v>22226.556000000004</v>
      </c>
      <c r="E752" s="5">
        <v>11</v>
      </c>
      <c r="F752" t="s">
        <v>29</v>
      </c>
      <c r="G752" s="6">
        <v>2196.3000000000002</v>
      </c>
      <c r="H752" t="s">
        <v>30</v>
      </c>
      <c r="I752" s="7">
        <v>0.08</v>
      </c>
      <c r="J752" t="s">
        <v>18</v>
      </c>
      <c r="K752" t="s">
        <v>19</v>
      </c>
    </row>
    <row r="753" spans="1:13" x14ac:dyDescent="0.25">
      <c r="A753" s="1" t="s">
        <v>66</v>
      </c>
      <c r="B753" t="s">
        <v>24</v>
      </c>
      <c r="C753" t="s">
        <v>34</v>
      </c>
      <c r="D753" s="6">
        <f t="shared" si="11"/>
        <v>73977.540000000008</v>
      </c>
      <c r="E753" s="5">
        <v>28</v>
      </c>
      <c r="F753" t="s">
        <v>29</v>
      </c>
      <c r="G753" s="6">
        <v>3108.3</v>
      </c>
      <c r="H753" t="s">
        <v>30</v>
      </c>
      <c r="I753" s="7">
        <v>0.15</v>
      </c>
      <c r="J753" t="s">
        <v>31</v>
      </c>
      <c r="K753" t="s">
        <v>22</v>
      </c>
    </row>
    <row r="754" spans="1:13" x14ac:dyDescent="0.25">
      <c r="A754" s="1" t="s">
        <v>69</v>
      </c>
      <c r="B754" t="s">
        <v>24</v>
      </c>
      <c r="C754" t="s">
        <v>15</v>
      </c>
      <c r="D754" s="6">
        <f t="shared" si="11"/>
        <v>74078.866399999999</v>
      </c>
      <c r="E754" s="5">
        <v>44</v>
      </c>
      <c r="F754" t="s">
        <v>26</v>
      </c>
      <c r="G754" s="6">
        <v>1717.97</v>
      </c>
      <c r="H754" t="s">
        <v>30</v>
      </c>
      <c r="I754" s="7">
        <v>0.02</v>
      </c>
      <c r="J754" t="s">
        <v>31</v>
      </c>
      <c r="K754" t="s">
        <v>22</v>
      </c>
    </row>
    <row r="755" spans="1:13" x14ac:dyDescent="0.25">
      <c r="A755" s="1" t="s">
        <v>71</v>
      </c>
      <c r="B755" t="s">
        <v>24</v>
      </c>
      <c r="C755" t="s">
        <v>21</v>
      </c>
      <c r="D755" s="6">
        <f t="shared" si="11"/>
        <v>74433.302999999985</v>
      </c>
      <c r="E755" s="5">
        <v>45</v>
      </c>
      <c r="F755" t="s">
        <v>29</v>
      </c>
      <c r="G755" s="6">
        <v>1687.83</v>
      </c>
      <c r="H755" t="s">
        <v>30</v>
      </c>
      <c r="I755" s="7">
        <v>0.02</v>
      </c>
      <c r="J755" t="s">
        <v>31</v>
      </c>
      <c r="K755" t="s">
        <v>19</v>
      </c>
    </row>
    <row r="756" spans="1:13" x14ac:dyDescent="0.25">
      <c r="A756" s="1" t="s">
        <v>69</v>
      </c>
      <c r="B756" t="s">
        <v>14</v>
      </c>
      <c r="C756" t="s">
        <v>34</v>
      </c>
      <c r="D756" s="6">
        <f t="shared" si="11"/>
        <v>13876.186799999999</v>
      </c>
      <c r="E756" s="5">
        <v>28</v>
      </c>
      <c r="F756" t="s">
        <v>29</v>
      </c>
      <c r="G756" s="6">
        <v>569.63</v>
      </c>
      <c r="H756" t="s">
        <v>30</v>
      </c>
      <c r="I756" s="7">
        <v>0.13</v>
      </c>
      <c r="J756" t="s">
        <v>31</v>
      </c>
      <c r="K756" t="s">
        <v>22</v>
      </c>
    </row>
    <row r="757" spans="1:13" x14ac:dyDescent="0.25">
      <c r="A757" s="1" t="s">
        <v>73</v>
      </c>
      <c r="B757" t="s">
        <v>24</v>
      </c>
      <c r="C757" t="s">
        <v>34</v>
      </c>
      <c r="D757" s="6">
        <f t="shared" si="11"/>
        <v>75806.635999999999</v>
      </c>
      <c r="E757" s="5">
        <v>20</v>
      </c>
      <c r="F757" t="s">
        <v>29</v>
      </c>
      <c r="G757" s="6">
        <v>5122.07</v>
      </c>
      <c r="H757" t="s">
        <v>30</v>
      </c>
      <c r="I757" s="7">
        <v>0.26</v>
      </c>
      <c r="J757" t="s">
        <v>18</v>
      </c>
      <c r="K757" t="s">
        <v>22</v>
      </c>
    </row>
    <row r="758" spans="1:13" x14ac:dyDescent="0.25">
      <c r="A758" s="1" t="s">
        <v>69</v>
      </c>
      <c r="B758" t="s">
        <v>38</v>
      </c>
      <c r="C758" t="s">
        <v>21</v>
      </c>
      <c r="D758" s="6">
        <f t="shared" si="11"/>
        <v>14274.518999999984</v>
      </c>
      <c r="E758" s="5">
        <v>21</v>
      </c>
      <c r="F758" t="s">
        <v>16</v>
      </c>
      <c r="G758" s="6">
        <v>828.94999999999902</v>
      </c>
      <c r="H758" t="s">
        <v>30</v>
      </c>
      <c r="I758" s="7">
        <v>0.18</v>
      </c>
      <c r="J758" t="s">
        <v>27</v>
      </c>
      <c r="K758" t="s">
        <v>19</v>
      </c>
    </row>
    <row r="759" spans="1:13" x14ac:dyDescent="0.25">
      <c r="A759" s="1" t="s">
        <v>69</v>
      </c>
      <c r="B759" t="s">
        <v>42</v>
      </c>
      <c r="C759" t="s">
        <v>21</v>
      </c>
      <c r="D759" s="6">
        <f t="shared" si="11"/>
        <v>122483.97</v>
      </c>
      <c r="E759" s="5">
        <v>45</v>
      </c>
      <c r="F759" t="s">
        <v>16</v>
      </c>
      <c r="G759" s="6">
        <v>2958.55</v>
      </c>
      <c r="H759" t="s">
        <v>30</v>
      </c>
      <c r="I759" s="7">
        <v>0.08</v>
      </c>
      <c r="J759" t="s">
        <v>18</v>
      </c>
      <c r="K759" t="s">
        <v>19</v>
      </c>
    </row>
    <row r="760" spans="1:13" x14ac:dyDescent="0.25">
      <c r="A760" s="1" t="s">
        <v>71</v>
      </c>
      <c r="B760" t="s">
        <v>24</v>
      </c>
      <c r="C760" t="s">
        <v>15</v>
      </c>
      <c r="D760" s="6">
        <f t="shared" si="11"/>
        <v>77128.831999999995</v>
      </c>
      <c r="E760" s="5">
        <v>22</v>
      </c>
      <c r="F760" t="s">
        <v>26</v>
      </c>
      <c r="G760" s="6">
        <v>4382.32</v>
      </c>
      <c r="H760" t="s">
        <v>30</v>
      </c>
      <c r="I760" s="7">
        <v>0.2</v>
      </c>
      <c r="J760" t="s">
        <v>27</v>
      </c>
      <c r="K760" t="s">
        <v>19</v>
      </c>
    </row>
    <row r="761" spans="1:13" x14ac:dyDescent="0.25">
      <c r="A761" s="1" t="s">
        <v>69</v>
      </c>
      <c r="B761" t="s">
        <v>42</v>
      </c>
      <c r="C761" t="s">
        <v>15</v>
      </c>
      <c r="D761" s="6">
        <f t="shared" si="11"/>
        <v>23127.566699999999</v>
      </c>
      <c r="E761" s="5">
        <v>17</v>
      </c>
      <c r="F761" t="s">
        <v>29</v>
      </c>
      <c r="G761" s="6">
        <v>1528.59</v>
      </c>
      <c r="H761" t="s">
        <v>17</v>
      </c>
      <c r="I761" s="7">
        <v>0.11</v>
      </c>
      <c r="J761" t="s">
        <v>31</v>
      </c>
      <c r="K761" t="s">
        <v>22</v>
      </c>
    </row>
    <row r="762" spans="1:13" x14ac:dyDescent="0.25">
      <c r="A762" s="1" t="s">
        <v>69</v>
      </c>
      <c r="B762" t="s">
        <v>33</v>
      </c>
      <c r="C762" t="s">
        <v>15</v>
      </c>
      <c r="D762" s="6">
        <f t="shared" si="11"/>
        <v>25568.852399999996</v>
      </c>
      <c r="E762" s="5">
        <v>14</v>
      </c>
      <c r="F762" t="s">
        <v>26</v>
      </c>
      <c r="G762" s="6">
        <v>2341.4699999999998</v>
      </c>
      <c r="H762" t="s">
        <v>17</v>
      </c>
      <c r="I762" s="7">
        <v>0.22</v>
      </c>
      <c r="J762" t="s">
        <v>31</v>
      </c>
      <c r="K762" t="s">
        <v>19</v>
      </c>
    </row>
    <row r="763" spans="1:13" x14ac:dyDescent="0.25">
      <c r="A763" s="1" t="s">
        <v>71</v>
      </c>
      <c r="B763" t="s">
        <v>24</v>
      </c>
      <c r="C763" t="s">
        <v>21</v>
      </c>
      <c r="D763" s="6">
        <f t="shared" si="11"/>
        <v>78163.545599999998</v>
      </c>
      <c r="E763" s="5">
        <v>18</v>
      </c>
      <c r="F763" t="s">
        <v>26</v>
      </c>
      <c r="G763" s="6">
        <v>4431.04</v>
      </c>
      <c r="H763" t="s">
        <v>30</v>
      </c>
      <c r="I763" s="7">
        <v>0.02</v>
      </c>
      <c r="J763" t="s">
        <v>27</v>
      </c>
      <c r="K763" t="s">
        <v>22</v>
      </c>
    </row>
    <row r="764" spans="1:13" x14ac:dyDescent="0.25">
      <c r="A764" s="1" t="s">
        <v>70</v>
      </c>
      <c r="B764" t="s">
        <v>24</v>
      </c>
      <c r="C764" t="s">
        <v>15</v>
      </c>
      <c r="D764" s="6">
        <f t="shared" si="11"/>
        <v>78608.056800000006</v>
      </c>
      <c r="E764" s="5">
        <v>24</v>
      </c>
      <c r="F764" t="s">
        <v>16</v>
      </c>
      <c r="G764" s="6">
        <v>3599.27</v>
      </c>
      <c r="H764" t="s">
        <v>30</v>
      </c>
      <c r="I764" s="7">
        <v>0.09</v>
      </c>
      <c r="J764" t="s">
        <v>31</v>
      </c>
      <c r="K764" t="s">
        <v>22</v>
      </c>
    </row>
    <row r="765" spans="1:13" x14ac:dyDescent="0.25">
      <c r="A765" s="1" t="s">
        <v>69</v>
      </c>
      <c r="B765" t="s">
        <v>42</v>
      </c>
      <c r="C765" t="s">
        <v>15</v>
      </c>
      <c r="D765" s="6">
        <f t="shared" si="11"/>
        <v>19821.463199999998</v>
      </c>
      <c r="E765" s="5">
        <v>28</v>
      </c>
      <c r="F765" t="s">
        <v>35</v>
      </c>
      <c r="G765" s="6">
        <v>715.06</v>
      </c>
      <c r="H765" t="s">
        <v>17</v>
      </c>
      <c r="I765" s="7">
        <v>0.01</v>
      </c>
      <c r="J765" t="s">
        <v>31</v>
      </c>
      <c r="K765" t="s">
        <v>19</v>
      </c>
    </row>
    <row r="766" spans="1:13" x14ac:dyDescent="0.25">
      <c r="A766" s="1" t="s">
        <v>67</v>
      </c>
      <c r="B766" t="s">
        <v>24</v>
      </c>
      <c r="C766" t="s">
        <v>21</v>
      </c>
      <c r="D766" s="6">
        <f t="shared" si="11"/>
        <v>79118.24960000001</v>
      </c>
      <c r="E766" s="5">
        <v>26</v>
      </c>
      <c r="F766" t="s">
        <v>16</v>
      </c>
      <c r="G766" s="6">
        <v>4003.96</v>
      </c>
      <c r="H766" t="s">
        <v>30</v>
      </c>
      <c r="I766" s="7">
        <v>0.24</v>
      </c>
      <c r="J766" t="s">
        <v>18</v>
      </c>
      <c r="K766" t="s">
        <v>19</v>
      </c>
      <c r="M766" s="10"/>
    </row>
    <row r="767" spans="1:13" x14ac:dyDescent="0.25">
      <c r="A767" s="1" t="s">
        <v>62</v>
      </c>
      <c r="B767" t="s">
        <v>24</v>
      </c>
      <c r="C767" t="s">
        <v>34</v>
      </c>
      <c r="D767" s="6">
        <f t="shared" si="11"/>
        <v>80744.153000000006</v>
      </c>
      <c r="E767" s="5">
        <v>35</v>
      </c>
      <c r="F767" t="s">
        <v>29</v>
      </c>
      <c r="G767" s="6">
        <v>2682.53</v>
      </c>
      <c r="H767" t="s">
        <v>30</v>
      </c>
      <c r="I767" s="7">
        <v>0.14000000000000001</v>
      </c>
      <c r="J767" t="s">
        <v>18</v>
      </c>
      <c r="K767" t="s">
        <v>22</v>
      </c>
    </row>
    <row r="768" spans="1:13" x14ac:dyDescent="0.25">
      <c r="A768" s="1" t="s">
        <v>69</v>
      </c>
      <c r="B768" t="s">
        <v>33</v>
      </c>
      <c r="C768" t="s">
        <v>21</v>
      </c>
      <c r="D768" s="6">
        <f t="shared" si="11"/>
        <v>59946.600000000006</v>
      </c>
      <c r="E768" s="5">
        <v>16</v>
      </c>
      <c r="F768" t="s">
        <v>29</v>
      </c>
      <c r="G768" s="6">
        <v>4995.55</v>
      </c>
      <c r="H768" t="s">
        <v>30</v>
      </c>
      <c r="I768" s="7">
        <v>0.25</v>
      </c>
      <c r="J768" t="s">
        <v>31</v>
      </c>
      <c r="K768" t="s">
        <v>19</v>
      </c>
    </row>
    <row r="769" spans="1:13" x14ac:dyDescent="0.25">
      <c r="A769" s="1" t="s">
        <v>69</v>
      </c>
      <c r="B769" t="s">
        <v>42</v>
      </c>
      <c r="C769" t="s">
        <v>34</v>
      </c>
      <c r="D769" s="6">
        <f t="shared" si="11"/>
        <v>168331.06619999962</v>
      </c>
      <c r="E769" s="5">
        <v>38</v>
      </c>
      <c r="F769" t="s">
        <v>26</v>
      </c>
      <c r="G769" s="6">
        <v>4474.5099999999902</v>
      </c>
      <c r="H769" t="s">
        <v>30</v>
      </c>
      <c r="I769" s="7">
        <v>0.01</v>
      </c>
      <c r="J769" t="s">
        <v>31</v>
      </c>
      <c r="K769" t="s">
        <v>19</v>
      </c>
    </row>
    <row r="770" spans="1:13" x14ac:dyDescent="0.25">
      <c r="A770" s="1" t="s">
        <v>69</v>
      </c>
      <c r="B770" t="s">
        <v>24</v>
      </c>
      <c r="C770" t="s">
        <v>34</v>
      </c>
      <c r="D770" s="6">
        <f t="shared" ref="D770:D833" si="12">(Unit_Price*Qty_Sold)*(1-Discount)</f>
        <v>83973.582000000009</v>
      </c>
      <c r="E770" s="5">
        <v>45</v>
      </c>
      <c r="F770" t="s">
        <v>26</v>
      </c>
      <c r="G770" s="6">
        <v>2169.86</v>
      </c>
      <c r="H770" t="s">
        <v>17</v>
      </c>
      <c r="I770" s="7">
        <v>0.14000000000000001</v>
      </c>
      <c r="J770" t="s">
        <v>31</v>
      </c>
      <c r="K770" t="s">
        <v>19</v>
      </c>
    </row>
    <row r="771" spans="1:13" x14ac:dyDescent="0.25">
      <c r="A771" s="1" t="s">
        <v>69</v>
      </c>
      <c r="B771" t="s">
        <v>42</v>
      </c>
      <c r="C771" t="s">
        <v>25</v>
      </c>
      <c r="D771" s="6">
        <f t="shared" si="12"/>
        <v>17224.143399999997</v>
      </c>
      <c r="E771" s="5">
        <v>23</v>
      </c>
      <c r="F771" t="s">
        <v>35</v>
      </c>
      <c r="G771" s="6">
        <v>902.26</v>
      </c>
      <c r="H771" t="s">
        <v>30</v>
      </c>
      <c r="I771" s="7">
        <v>0.17</v>
      </c>
      <c r="J771" t="s">
        <v>27</v>
      </c>
      <c r="K771" t="s">
        <v>19</v>
      </c>
    </row>
    <row r="772" spans="1:13" x14ac:dyDescent="0.25">
      <c r="A772" s="1" t="s">
        <v>69</v>
      </c>
      <c r="B772" t="s">
        <v>38</v>
      </c>
      <c r="C772" t="s">
        <v>34</v>
      </c>
      <c r="D772" s="6">
        <f t="shared" si="12"/>
        <v>16714.846500000003</v>
      </c>
      <c r="E772" s="5">
        <v>11</v>
      </c>
      <c r="F772" t="s">
        <v>26</v>
      </c>
      <c r="G772" s="6">
        <v>2081.5500000000002</v>
      </c>
      <c r="H772" t="s">
        <v>30</v>
      </c>
      <c r="I772" s="7">
        <v>0.27</v>
      </c>
      <c r="J772" t="s">
        <v>27</v>
      </c>
      <c r="K772" t="s">
        <v>19</v>
      </c>
    </row>
    <row r="773" spans="1:13" x14ac:dyDescent="0.25">
      <c r="A773" s="1" t="s">
        <v>69</v>
      </c>
      <c r="B773" t="s">
        <v>42</v>
      </c>
      <c r="C773" t="s">
        <v>25</v>
      </c>
      <c r="D773" s="6">
        <f t="shared" si="12"/>
        <v>19977.170399999999</v>
      </c>
      <c r="E773" s="5">
        <v>4</v>
      </c>
      <c r="F773" t="s">
        <v>16</v>
      </c>
      <c r="G773" s="6">
        <v>5044.74</v>
      </c>
      <c r="H773" t="s">
        <v>30</v>
      </c>
      <c r="I773" s="7">
        <v>0.01</v>
      </c>
      <c r="J773" t="s">
        <v>27</v>
      </c>
      <c r="K773" t="s">
        <v>19</v>
      </c>
    </row>
    <row r="774" spans="1:13" x14ac:dyDescent="0.25">
      <c r="A774" s="1" t="s">
        <v>69</v>
      </c>
      <c r="B774" t="s">
        <v>42</v>
      </c>
      <c r="C774" t="s">
        <v>25</v>
      </c>
      <c r="D774" s="6">
        <f t="shared" si="12"/>
        <v>23637.1734</v>
      </c>
      <c r="E774" s="5">
        <v>6</v>
      </c>
      <c r="F774" t="s">
        <v>35</v>
      </c>
      <c r="G774" s="6">
        <v>4061.37</v>
      </c>
      <c r="H774" t="s">
        <v>30</v>
      </c>
      <c r="I774" s="7">
        <v>0.03</v>
      </c>
      <c r="J774" t="s">
        <v>27</v>
      </c>
      <c r="K774" t="s">
        <v>22</v>
      </c>
    </row>
    <row r="775" spans="1:13" x14ac:dyDescent="0.25">
      <c r="A775" s="1" t="s">
        <v>69</v>
      </c>
      <c r="B775" t="s">
        <v>33</v>
      </c>
      <c r="C775" t="s">
        <v>25</v>
      </c>
      <c r="D775" s="6">
        <f t="shared" si="12"/>
        <v>34686.263200000001</v>
      </c>
      <c r="E775" s="5">
        <v>23</v>
      </c>
      <c r="F775" t="s">
        <v>26</v>
      </c>
      <c r="G775" s="6">
        <v>1984.34</v>
      </c>
      <c r="H775" t="s">
        <v>17</v>
      </c>
      <c r="I775" s="7">
        <v>0.24</v>
      </c>
      <c r="J775" t="s">
        <v>27</v>
      </c>
      <c r="K775" t="s">
        <v>19</v>
      </c>
    </row>
    <row r="776" spans="1:13" x14ac:dyDescent="0.25">
      <c r="A776" s="1" t="s">
        <v>69</v>
      </c>
      <c r="B776" t="s">
        <v>38</v>
      </c>
      <c r="C776" t="s">
        <v>25</v>
      </c>
      <c r="D776" s="6">
        <f t="shared" si="12"/>
        <v>102648.38399999998</v>
      </c>
      <c r="E776" s="5">
        <v>30</v>
      </c>
      <c r="F776" t="s">
        <v>29</v>
      </c>
      <c r="G776" s="6">
        <v>4752.24</v>
      </c>
      <c r="H776" t="s">
        <v>30</v>
      </c>
      <c r="I776" s="7">
        <v>0.28000000000000003</v>
      </c>
      <c r="J776" t="s">
        <v>31</v>
      </c>
      <c r="K776" t="s">
        <v>19</v>
      </c>
    </row>
    <row r="777" spans="1:13" x14ac:dyDescent="0.25">
      <c r="A777" s="1" t="s">
        <v>73</v>
      </c>
      <c r="B777" t="s">
        <v>24</v>
      </c>
      <c r="C777" t="s">
        <v>34</v>
      </c>
      <c r="D777" s="6">
        <f t="shared" si="12"/>
        <v>85184.000999999989</v>
      </c>
      <c r="E777" s="5">
        <v>21</v>
      </c>
      <c r="F777" t="s">
        <v>29</v>
      </c>
      <c r="G777" s="6">
        <v>4361.7</v>
      </c>
      <c r="H777" t="s">
        <v>17</v>
      </c>
      <c r="I777" s="7">
        <v>7.0000000000000007E-2</v>
      </c>
      <c r="J777" t="s">
        <v>31</v>
      </c>
      <c r="K777" t="s">
        <v>22</v>
      </c>
    </row>
    <row r="778" spans="1:13" x14ac:dyDescent="0.25">
      <c r="A778" s="1" t="s">
        <v>63</v>
      </c>
      <c r="B778" t="s">
        <v>24</v>
      </c>
      <c r="C778" t="s">
        <v>34</v>
      </c>
      <c r="D778" s="6">
        <f t="shared" si="12"/>
        <v>86272.085200000001</v>
      </c>
      <c r="E778" s="5">
        <v>49</v>
      </c>
      <c r="F778" t="s">
        <v>16</v>
      </c>
      <c r="G778" s="6">
        <v>2147.14</v>
      </c>
      <c r="H778" t="s">
        <v>17</v>
      </c>
      <c r="I778" s="7">
        <v>0.18</v>
      </c>
      <c r="J778" t="s">
        <v>31</v>
      </c>
      <c r="K778" t="s">
        <v>22</v>
      </c>
    </row>
    <row r="779" spans="1:13" x14ac:dyDescent="0.25">
      <c r="A779" s="1" t="s">
        <v>69</v>
      </c>
      <c r="B779" t="s">
        <v>14</v>
      </c>
      <c r="C779" t="s">
        <v>15</v>
      </c>
      <c r="D779" s="6">
        <f t="shared" si="12"/>
        <v>37830.246299999999</v>
      </c>
      <c r="E779" s="5">
        <v>11</v>
      </c>
      <c r="F779" t="s">
        <v>16</v>
      </c>
      <c r="G779" s="6">
        <v>4143.51</v>
      </c>
      <c r="H779" t="s">
        <v>17</v>
      </c>
      <c r="I779" s="7">
        <v>0.17</v>
      </c>
      <c r="J779" t="s">
        <v>31</v>
      </c>
      <c r="K779" t="s">
        <v>22</v>
      </c>
    </row>
    <row r="780" spans="1:13" x14ac:dyDescent="0.25">
      <c r="A780" s="1" t="s">
        <v>69</v>
      </c>
      <c r="B780" t="s">
        <v>38</v>
      </c>
      <c r="C780" t="s">
        <v>21</v>
      </c>
      <c r="D780" s="6">
        <f t="shared" si="12"/>
        <v>35299.440000000002</v>
      </c>
      <c r="E780" s="5">
        <v>11</v>
      </c>
      <c r="F780" t="s">
        <v>35</v>
      </c>
      <c r="G780" s="6">
        <v>3565.6</v>
      </c>
      <c r="H780" t="s">
        <v>17</v>
      </c>
      <c r="I780" s="7">
        <v>0.1</v>
      </c>
      <c r="J780" t="s">
        <v>31</v>
      </c>
      <c r="K780" t="s">
        <v>22</v>
      </c>
    </row>
    <row r="781" spans="1:13" x14ac:dyDescent="0.25">
      <c r="A781" s="1" t="s">
        <v>71</v>
      </c>
      <c r="B781" t="s">
        <v>24</v>
      </c>
      <c r="C781" t="s">
        <v>25</v>
      </c>
      <c r="D781" s="6">
        <f t="shared" si="12"/>
        <v>87352.685999999987</v>
      </c>
      <c r="E781" s="5">
        <v>30</v>
      </c>
      <c r="F781" t="s">
        <v>26</v>
      </c>
      <c r="G781" s="6">
        <v>3508.14</v>
      </c>
      <c r="H781" t="s">
        <v>30</v>
      </c>
      <c r="I781" s="7">
        <v>0.17</v>
      </c>
      <c r="J781" t="s">
        <v>27</v>
      </c>
      <c r="K781" t="s">
        <v>22</v>
      </c>
    </row>
    <row r="782" spans="1:13" x14ac:dyDescent="0.25">
      <c r="A782" s="1" t="s">
        <v>67</v>
      </c>
      <c r="B782" t="s">
        <v>24</v>
      </c>
      <c r="C782" t="s">
        <v>21</v>
      </c>
      <c r="D782" s="6">
        <f t="shared" si="12"/>
        <v>87769.504199999996</v>
      </c>
      <c r="E782" s="5">
        <v>42</v>
      </c>
      <c r="F782" t="s">
        <v>16</v>
      </c>
      <c r="G782" s="6">
        <v>2943.31</v>
      </c>
      <c r="H782" t="s">
        <v>30</v>
      </c>
      <c r="I782" s="7">
        <v>0.28999999999999998</v>
      </c>
      <c r="J782" t="s">
        <v>18</v>
      </c>
      <c r="K782" t="s">
        <v>19</v>
      </c>
      <c r="M782" s="10"/>
    </row>
    <row r="783" spans="1:13" x14ac:dyDescent="0.25">
      <c r="A783" s="1" t="s">
        <v>69</v>
      </c>
      <c r="B783" t="s">
        <v>14</v>
      </c>
      <c r="C783" t="s">
        <v>21</v>
      </c>
      <c r="D783" s="6">
        <f t="shared" si="12"/>
        <v>59555.20640000001</v>
      </c>
      <c r="E783" s="5">
        <v>43</v>
      </c>
      <c r="F783" t="s">
        <v>35</v>
      </c>
      <c r="G783" s="6">
        <v>1505.44</v>
      </c>
      <c r="H783" t="s">
        <v>30</v>
      </c>
      <c r="I783" s="7">
        <v>0.08</v>
      </c>
      <c r="J783" t="s">
        <v>18</v>
      </c>
      <c r="K783" t="s">
        <v>22</v>
      </c>
    </row>
    <row r="784" spans="1:13" x14ac:dyDescent="0.25">
      <c r="A784" s="1" t="s">
        <v>69</v>
      </c>
      <c r="B784" t="s">
        <v>38</v>
      </c>
      <c r="C784" t="s">
        <v>34</v>
      </c>
      <c r="D784" s="6">
        <f t="shared" si="12"/>
        <v>37544.159999999996</v>
      </c>
      <c r="E784" s="5">
        <v>16</v>
      </c>
      <c r="F784" t="s">
        <v>35</v>
      </c>
      <c r="G784" s="6">
        <v>2760.6</v>
      </c>
      <c r="H784" t="s">
        <v>17</v>
      </c>
      <c r="I784" s="7">
        <v>0.15</v>
      </c>
      <c r="J784" t="s">
        <v>31</v>
      </c>
      <c r="K784" t="s">
        <v>22</v>
      </c>
    </row>
    <row r="785" spans="1:13" x14ac:dyDescent="0.25">
      <c r="A785" s="1" t="s">
        <v>69</v>
      </c>
      <c r="B785" t="s">
        <v>14</v>
      </c>
      <c r="C785" t="s">
        <v>21</v>
      </c>
      <c r="D785" s="6">
        <f t="shared" si="12"/>
        <v>160399.3596</v>
      </c>
      <c r="E785" s="5">
        <v>46</v>
      </c>
      <c r="F785" t="s">
        <v>26</v>
      </c>
      <c r="G785" s="6">
        <v>4007.98</v>
      </c>
      <c r="H785" t="s">
        <v>30</v>
      </c>
      <c r="I785" s="7">
        <v>0.13</v>
      </c>
      <c r="J785" t="s">
        <v>18</v>
      </c>
      <c r="K785" t="s">
        <v>19</v>
      </c>
    </row>
    <row r="786" spans="1:13" x14ac:dyDescent="0.25">
      <c r="A786" s="1" t="s">
        <v>62</v>
      </c>
      <c r="B786" t="s">
        <v>24</v>
      </c>
      <c r="C786" t="s">
        <v>21</v>
      </c>
      <c r="D786" s="6">
        <f t="shared" si="12"/>
        <v>88259.657200000001</v>
      </c>
      <c r="E786" s="5">
        <v>44</v>
      </c>
      <c r="F786" t="s">
        <v>26</v>
      </c>
      <c r="G786" s="6">
        <v>2747.81</v>
      </c>
      <c r="H786" t="s">
        <v>17</v>
      </c>
      <c r="I786" s="7">
        <v>0.27</v>
      </c>
      <c r="J786" t="s">
        <v>18</v>
      </c>
      <c r="K786" t="s">
        <v>19</v>
      </c>
    </row>
    <row r="787" spans="1:13" x14ac:dyDescent="0.25">
      <c r="A787" s="1" t="s">
        <v>65</v>
      </c>
      <c r="B787" t="s">
        <v>24</v>
      </c>
      <c r="C787" t="s">
        <v>25</v>
      </c>
      <c r="D787" s="6">
        <f t="shared" si="12"/>
        <v>88846.175999999992</v>
      </c>
      <c r="E787" s="5">
        <v>40</v>
      </c>
      <c r="F787" t="s">
        <v>29</v>
      </c>
      <c r="G787" s="6">
        <v>3001.56</v>
      </c>
      <c r="H787" t="s">
        <v>17</v>
      </c>
      <c r="I787" s="7">
        <v>0.26</v>
      </c>
      <c r="J787" t="s">
        <v>27</v>
      </c>
      <c r="K787" t="s">
        <v>19</v>
      </c>
    </row>
    <row r="788" spans="1:13" x14ac:dyDescent="0.25">
      <c r="A788" s="1" t="s">
        <v>69</v>
      </c>
      <c r="B788" t="s">
        <v>33</v>
      </c>
      <c r="C788" t="s">
        <v>25</v>
      </c>
      <c r="D788" s="6">
        <f t="shared" si="12"/>
        <v>13865.183199999981</v>
      </c>
      <c r="E788" s="5">
        <v>22</v>
      </c>
      <c r="F788" t="s">
        <v>26</v>
      </c>
      <c r="G788" s="6">
        <v>759.31999999999903</v>
      </c>
      <c r="H788" t="s">
        <v>17</v>
      </c>
      <c r="I788" s="7">
        <v>0.17</v>
      </c>
      <c r="J788" t="s">
        <v>27</v>
      </c>
      <c r="K788" t="s">
        <v>22</v>
      </c>
    </row>
    <row r="789" spans="1:13" x14ac:dyDescent="0.25">
      <c r="A789" s="1" t="s">
        <v>69</v>
      </c>
      <c r="B789" t="s">
        <v>38</v>
      </c>
      <c r="C789" t="s">
        <v>34</v>
      </c>
      <c r="D789" s="6">
        <f t="shared" si="12"/>
        <v>65021.219999999783</v>
      </c>
      <c r="E789" s="5">
        <v>22</v>
      </c>
      <c r="F789" t="s">
        <v>35</v>
      </c>
      <c r="G789" s="6">
        <v>2955.5099999999902</v>
      </c>
      <c r="H789" t="s">
        <v>17</v>
      </c>
      <c r="I789" s="7">
        <v>0</v>
      </c>
      <c r="J789" t="s">
        <v>27</v>
      </c>
      <c r="K789" t="s">
        <v>22</v>
      </c>
    </row>
    <row r="790" spans="1:13" x14ac:dyDescent="0.25">
      <c r="A790" s="1" t="s">
        <v>70</v>
      </c>
      <c r="B790" t="s">
        <v>24</v>
      </c>
      <c r="C790" t="s">
        <v>15</v>
      </c>
      <c r="D790" s="6">
        <f t="shared" si="12"/>
        <v>90212.774700000009</v>
      </c>
      <c r="E790" s="5">
        <v>37</v>
      </c>
      <c r="F790" t="s">
        <v>35</v>
      </c>
      <c r="G790" s="6">
        <v>2937.57</v>
      </c>
      <c r="H790" t="s">
        <v>30</v>
      </c>
      <c r="I790" s="7">
        <v>0.17</v>
      </c>
      <c r="J790" t="s">
        <v>31</v>
      </c>
      <c r="K790" t="s">
        <v>22</v>
      </c>
    </row>
    <row r="791" spans="1:13" x14ac:dyDescent="0.25">
      <c r="A791" s="1" t="s">
        <v>65</v>
      </c>
      <c r="B791" t="s">
        <v>24</v>
      </c>
      <c r="C791" t="s">
        <v>25</v>
      </c>
      <c r="D791" s="6">
        <f t="shared" si="12"/>
        <v>91001.364000000001</v>
      </c>
      <c r="E791" s="5">
        <v>30</v>
      </c>
      <c r="F791" t="s">
        <v>35</v>
      </c>
      <c r="G791" s="6">
        <v>3839.72</v>
      </c>
      <c r="H791" t="s">
        <v>30</v>
      </c>
      <c r="I791" s="7">
        <v>0.21</v>
      </c>
      <c r="J791" t="s">
        <v>31</v>
      </c>
      <c r="K791" t="s">
        <v>19</v>
      </c>
    </row>
    <row r="792" spans="1:13" x14ac:dyDescent="0.25">
      <c r="A792" s="1" t="s">
        <v>67</v>
      </c>
      <c r="B792" t="s">
        <v>24</v>
      </c>
      <c r="C792" t="s">
        <v>25</v>
      </c>
      <c r="D792" s="6">
        <f t="shared" si="12"/>
        <v>91465.130400000009</v>
      </c>
      <c r="E792" s="5">
        <v>46</v>
      </c>
      <c r="F792" t="s">
        <v>16</v>
      </c>
      <c r="G792" s="6">
        <v>2367.11</v>
      </c>
      <c r="H792" t="s">
        <v>30</v>
      </c>
      <c r="I792" s="7">
        <v>0.16</v>
      </c>
      <c r="J792" t="s">
        <v>18</v>
      </c>
      <c r="K792" t="s">
        <v>22</v>
      </c>
      <c r="M792" s="10"/>
    </row>
    <row r="793" spans="1:13" x14ac:dyDescent="0.25">
      <c r="A793" s="1" t="s">
        <v>69</v>
      </c>
      <c r="B793" t="s">
        <v>14</v>
      </c>
      <c r="C793" t="s">
        <v>21</v>
      </c>
      <c r="D793" s="6">
        <f t="shared" si="12"/>
        <v>41929.747199999998</v>
      </c>
      <c r="E793" s="5">
        <v>43</v>
      </c>
      <c r="F793" t="s">
        <v>29</v>
      </c>
      <c r="G793" s="6">
        <v>1283.04</v>
      </c>
      <c r="H793" t="s">
        <v>30</v>
      </c>
      <c r="I793" s="7">
        <v>0.24</v>
      </c>
      <c r="J793" t="s">
        <v>18</v>
      </c>
      <c r="K793" t="s">
        <v>19</v>
      </c>
    </row>
    <row r="794" spans="1:13" x14ac:dyDescent="0.25">
      <c r="A794" s="1" t="s">
        <v>69</v>
      </c>
      <c r="B794" t="s">
        <v>38</v>
      </c>
      <c r="C794" t="s">
        <v>34</v>
      </c>
      <c r="D794" s="6">
        <f t="shared" si="12"/>
        <v>586.74720000000002</v>
      </c>
      <c r="E794" s="5">
        <v>1</v>
      </c>
      <c r="F794" t="s">
        <v>16</v>
      </c>
      <c r="G794" s="6">
        <v>752.24</v>
      </c>
      <c r="H794" t="s">
        <v>30</v>
      </c>
      <c r="I794" s="7">
        <v>0.22</v>
      </c>
      <c r="J794" t="s">
        <v>27</v>
      </c>
      <c r="K794" t="s">
        <v>19</v>
      </c>
    </row>
    <row r="795" spans="1:13" x14ac:dyDescent="0.25">
      <c r="A795" s="1" t="s">
        <v>69</v>
      </c>
      <c r="B795" t="s">
        <v>38</v>
      </c>
      <c r="C795" t="s">
        <v>25</v>
      </c>
      <c r="D795" s="6">
        <f t="shared" si="12"/>
        <v>95702.006399999998</v>
      </c>
      <c r="E795" s="5">
        <v>32</v>
      </c>
      <c r="F795" t="s">
        <v>35</v>
      </c>
      <c r="G795" s="6">
        <v>3286.47</v>
      </c>
      <c r="H795" t="s">
        <v>30</v>
      </c>
      <c r="I795" s="7">
        <v>0.09</v>
      </c>
      <c r="J795" t="s">
        <v>31</v>
      </c>
      <c r="K795" t="s">
        <v>19</v>
      </c>
    </row>
    <row r="796" spans="1:13" x14ac:dyDescent="0.25">
      <c r="A796" s="1" t="s">
        <v>69</v>
      </c>
      <c r="B796" t="s">
        <v>14</v>
      </c>
      <c r="C796" t="s">
        <v>21</v>
      </c>
      <c r="D796" s="6">
        <f t="shared" si="12"/>
        <v>72325.757399999711</v>
      </c>
      <c r="E796" s="5">
        <v>39</v>
      </c>
      <c r="F796" t="s">
        <v>16</v>
      </c>
      <c r="G796" s="6">
        <v>2540.4199999999901</v>
      </c>
      <c r="H796" t="s">
        <v>17</v>
      </c>
      <c r="I796" s="7">
        <v>0.27</v>
      </c>
      <c r="J796" t="s">
        <v>27</v>
      </c>
      <c r="K796" t="s">
        <v>19</v>
      </c>
    </row>
    <row r="797" spans="1:13" x14ac:dyDescent="0.25">
      <c r="A797" s="1" t="s">
        <v>69</v>
      </c>
      <c r="B797" t="s">
        <v>38</v>
      </c>
      <c r="C797" t="s">
        <v>34</v>
      </c>
      <c r="D797" s="6">
        <f t="shared" si="12"/>
        <v>162291.73840000003</v>
      </c>
      <c r="E797" s="5">
        <v>37</v>
      </c>
      <c r="F797" t="s">
        <v>16</v>
      </c>
      <c r="G797" s="6">
        <v>4984.3900000000003</v>
      </c>
      <c r="H797" t="s">
        <v>17</v>
      </c>
      <c r="I797" s="7">
        <v>0.12</v>
      </c>
      <c r="J797" t="s">
        <v>18</v>
      </c>
      <c r="K797" t="s">
        <v>22</v>
      </c>
    </row>
    <row r="798" spans="1:13" x14ac:dyDescent="0.25">
      <c r="A798" s="1" t="s">
        <v>69</v>
      </c>
      <c r="B798" t="s">
        <v>38</v>
      </c>
      <c r="C798" t="s">
        <v>34</v>
      </c>
      <c r="D798" s="6">
        <f t="shared" si="12"/>
        <v>56283.796800000004</v>
      </c>
      <c r="E798" s="5">
        <v>18</v>
      </c>
      <c r="F798" t="s">
        <v>16</v>
      </c>
      <c r="G798" s="6">
        <v>3553.27</v>
      </c>
      <c r="H798" t="s">
        <v>17</v>
      </c>
      <c r="I798" s="7">
        <v>0.12</v>
      </c>
      <c r="J798" t="s">
        <v>18</v>
      </c>
      <c r="K798" t="s">
        <v>22</v>
      </c>
    </row>
    <row r="799" spans="1:13" x14ac:dyDescent="0.25">
      <c r="A799" s="1" t="s">
        <v>69</v>
      </c>
      <c r="B799" t="s">
        <v>38</v>
      </c>
      <c r="C799" t="s">
        <v>25</v>
      </c>
      <c r="D799" s="6">
        <f t="shared" si="12"/>
        <v>116164.152</v>
      </c>
      <c r="E799" s="5">
        <v>40</v>
      </c>
      <c r="F799" t="s">
        <v>29</v>
      </c>
      <c r="G799" s="6">
        <v>3723.21</v>
      </c>
      <c r="H799" t="s">
        <v>30</v>
      </c>
      <c r="I799" s="7">
        <v>0.22</v>
      </c>
      <c r="J799" t="s">
        <v>27</v>
      </c>
      <c r="K799" t="s">
        <v>22</v>
      </c>
    </row>
    <row r="800" spans="1:13" x14ac:dyDescent="0.25">
      <c r="A800" s="1" t="s">
        <v>69</v>
      </c>
      <c r="B800" t="s">
        <v>42</v>
      </c>
      <c r="C800" t="s">
        <v>25</v>
      </c>
      <c r="D800" s="6">
        <f t="shared" si="12"/>
        <v>57009.571199999991</v>
      </c>
      <c r="E800" s="5">
        <v>27</v>
      </c>
      <c r="F800" t="s">
        <v>26</v>
      </c>
      <c r="G800" s="6">
        <v>2246.2399999999998</v>
      </c>
      <c r="H800" t="s">
        <v>30</v>
      </c>
      <c r="I800" s="7">
        <v>0.06</v>
      </c>
      <c r="J800" t="s">
        <v>27</v>
      </c>
      <c r="K800" t="s">
        <v>22</v>
      </c>
    </row>
    <row r="801" spans="1:11" x14ac:dyDescent="0.25">
      <c r="A801" s="1" t="s">
        <v>69</v>
      </c>
      <c r="B801" t="s">
        <v>33</v>
      </c>
      <c r="C801" t="s">
        <v>15</v>
      </c>
      <c r="D801" s="6">
        <f t="shared" si="12"/>
        <v>75183.191999999981</v>
      </c>
      <c r="E801" s="5">
        <v>20</v>
      </c>
      <c r="F801" t="s">
        <v>16</v>
      </c>
      <c r="G801" s="6">
        <v>4475.1899999999996</v>
      </c>
      <c r="H801" t="s">
        <v>17</v>
      </c>
      <c r="I801" s="7">
        <v>0.16</v>
      </c>
      <c r="J801" t="s">
        <v>18</v>
      </c>
      <c r="K801" t="s">
        <v>19</v>
      </c>
    </row>
    <row r="802" spans="1:11" x14ac:dyDescent="0.25">
      <c r="A802" s="1" t="s">
        <v>62</v>
      </c>
      <c r="B802" t="s">
        <v>24</v>
      </c>
      <c r="C802" t="s">
        <v>34</v>
      </c>
      <c r="D802" s="6">
        <f t="shared" si="12"/>
        <v>91573.109099999987</v>
      </c>
      <c r="E802" s="5">
        <v>33</v>
      </c>
      <c r="F802" t="s">
        <v>26</v>
      </c>
      <c r="G802" s="6">
        <v>3908.37</v>
      </c>
      <c r="H802" t="s">
        <v>30</v>
      </c>
      <c r="I802" s="7">
        <v>0.28999999999999998</v>
      </c>
      <c r="J802" t="s">
        <v>18</v>
      </c>
      <c r="K802" t="s">
        <v>22</v>
      </c>
    </row>
    <row r="803" spans="1:11" x14ac:dyDescent="0.25">
      <c r="A803" s="1" t="s">
        <v>72</v>
      </c>
      <c r="B803" t="s">
        <v>24</v>
      </c>
      <c r="C803" t="s">
        <v>21</v>
      </c>
      <c r="D803" s="6">
        <f t="shared" si="12"/>
        <v>91762.671999999991</v>
      </c>
      <c r="E803" s="5">
        <v>40</v>
      </c>
      <c r="F803" t="s">
        <v>16</v>
      </c>
      <c r="G803" s="6">
        <v>3231.08</v>
      </c>
      <c r="H803" t="s">
        <v>17</v>
      </c>
      <c r="I803" s="7">
        <v>0.28999999999999998</v>
      </c>
      <c r="J803" t="s">
        <v>31</v>
      </c>
      <c r="K803" t="s">
        <v>22</v>
      </c>
    </row>
    <row r="804" spans="1:11" x14ac:dyDescent="0.25">
      <c r="A804" s="1" t="s">
        <v>70</v>
      </c>
      <c r="B804" t="s">
        <v>24</v>
      </c>
      <c r="C804" t="s">
        <v>15</v>
      </c>
      <c r="D804" s="6">
        <f t="shared" si="12"/>
        <v>92539.98</v>
      </c>
      <c r="E804" s="5">
        <v>40</v>
      </c>
      <c r="F804" t="s">
        <v>16</v>
      </c>
      <c r="G804" s="6">
        <v>3258.45</v>
      </c>
      <c r="H804" t="s">
        <v>30</v>
      </c>
      <c r="I804" s="7">
        <v>0.28999999999999998</v>
      </c>
      <c r="J804" t="s">
        <v>18</v>
      </c>
      <c r="K804" t="s">
        <v>19</v>
      </c>
    </row>
    <row r="805" spans="1:11" x14ac:dyDescent="0.25">
      <c r="A805" s="1" t="s">
        <v>72</v>
      </c>
      <c r="B805" t="s">
        <v>24</v>
      </c>
      <c r="C805" t="s">
        <v>21</v>
      </c>
      <c r="D805" s="6">
        <f t="shared" si="12"/>
        <v>92713.873200000002</v>
      </c>
      <c r="E805" s="5">
        <v>47</v>
      </c>
      <c r="F805" t="s">
        <v>16</v>
      </c>
      <c r="G805" s="6">
        <v>2529.02</v>
      </c>
      <c r="H805" t="s">
        <v>17</v>
      </c>
      <c r="I805" s="7">
        <v>0.22</v>
      </c>
      <c r="J805" t="s">
        <v>18</v>
      </c>
      <c r="K805" t="s">
        <v>22</v>
      </c>
    </row>
    <row r="806" spans="1:11" x14ac:dyDescent="0.25">
      <c r="A806" s="1" t="s">
        <v>69</v>
      </c>
      <c r="B806" t="s">
        <v>14</v>
      </c>
      <c r="C806" t="s">
        <v>21</v>
      </c>
      <c r="D806" s="6">
        <f t="shared" si="12"/>
        <v>108064.1925</v>
      </c>
      <c r="E806" s="5">
        <v>33</v>
      </c>
      <c r="F806" t="s">
        <v>16</v>
      </c>
      <c r="G806" s="6">
        <v>3307.75</v>
      </c>
      <c r="H806" t="s">
        <v>17</v>
      </c>
      <c r="I806" s="7">
        <v>0.01</v>
      </c>
      <c r="J806" t="s">
        <v>27</v>
      </c>
      <c r="K806" t="s">
        <v>22</v>
      </c>
    </row>
    <row r="807" spans="1:11" x14ac:dyDescent="0.25">
      <c r="A807" s="1" t="s">
        <v>69</v>
      </c>
      <c r="B807" t="s">
        <v>14</v>
      </c>
      <c r="C807" t="s">
        <v>21</v>
      </c>
      <c r="D807" s="6">
        <f t="shared" si="12"/>
        <v>9221.7384000000002</v>
      </c>
      <c r="E807" s="5">
        <v>3</v>
      </c>
      <c r="F807" t="s">
        <v>16</v>
      </c>
      <c r="G807" s="6">
        <v>3659.42</v>
      </c>
      <c r="H807" t="s">
        <v>30</v>
      </c>
      <c r="I807" s="7">
        <v>0.16</v>
      </c>
      <c r="J807" t="s">
        <v>18</v>
      </c>
      <c r="K807" t="s">
        <v>19</v>
      </c>
    </row>
    <row r="808" spans="1:11" x14ac:dyDescent="0.25">
      <c r="A808" s="1" t="s">
        <v>69</v>
      </c>
      <c r="B808" t="s">
        <v>42</v>
      </c>
      <c r="C808" t="s">
        <v>21</v>
      </c>
      <c r="D808" s="6">
        <f t="shared" si="12"/>
        <v>16309.748999999998</v>
      </c>
      <c r="E808" s="5">
        <v>5</v>
      </c>
      <c r="F808" t="s">
        <v>35</v>
      </c>
      <c r="G808" s="6">
        <v>3930.06</v>
      </c>
      <c r="H808" t="s">
        <v>30</v>
      </c>
      <c r="I808" s="7">
        <v>0.17</v>
      </c>
      <c r="J808" t="s">
        <v>27</v>
      </c>
      <c r="K808" t="s">
        <v>19</v>
      </c>
    </row>
    <row r="809" spans="1:11" x14ac:dyDescent="0.25">
      <c r="A809" s="1" t="s">
        <v>69</v>
      </c>
      <c r="B809" t="s">
        <v>38</v>
      </c>
      <c r="C809" t="s">
        <v>34</v>
      </c>
      <c r="D809" s="6">
        <f t="shared" si="12"/>
        <v>48775.103999999999</v>
      </c>
      <c r="E809" s="5">
        <v>12</v>
      </c>
      <c r="F809" t="s">
        <v>26</v>
      </c>
      <c r="G809" s="6">
        <v>5080.74</v>
      </c>
      <c r="H809" t="s">
        <v>30</v>
      </c>
      <c r="I809" s="7">
        <v>0.2</v>
      </c>
      <c r="J809" t="s">
        <v>18</v>
      </c>
      <c r="K809" t="s">
        <v>19</v>
      </c>
    </row>
    <row r="810" spans="1:11" x14ac:dyDescent="0.25">
      <c r="A810" s="1" t="s">
        <v>69</v>
      </c>
      <c r="B810" t="s">
        <v>38</v>
      </c>
      <c r="C810" t="s">
        <v>34</v>
      </c>
      <c r="D810" s="6">
        <f t="shared" si="12"/>
        <v>27813.941999999999</v>
      </c>
      <c r="E810" s="5">
        <v>15</v>
      </c>
      <c r="F810" t="s">
        <v>35</v>
      </c>
      <c r="G810" s="6">
        <v>1972.62</v>
      </c>
      <c r="H810" t="s">
        <v>17</v>
      </c>
      <c r="I810" s="7">
        <v>0.06</v>
      </c>
      <c r="J810" t="s">
        <v>31</v>
      </c>
      <c r="K810" t="s">
        <v>22</v>
      </c>
    </row>
    <row r="811" spans="1:11" x14ac:dyDescent="0.25">
      <c r="A811" s="1" t="s">
        <v>69</v>
      </c>
      <c r="B811" t="s">
        <v>14</v>
      </c>
      <c r="C811" t="s">
        <v>21</v>
      </c>
      <c r="D811" s="6">
        <f t="shared" si="12"/>
        <v>35590.359199999999</v>
      </c>
      <c r="E811" s="5">
        <v>38</v>
      </c>
      <c r="F811" t="s">
        <v>16</v>
      </c>
      <c r="G811" s="6">
        <v>1265.6600000000001</v>
      </c>
      <c r="H811" t="s">
        <v>17</v>
      </c>
      <c r="I811" s="7">
        <v>0.26</v>
      </c>
      <c r="J811" t="s">
        <v>27</v>
      </c>
      <c r="K811" t="s">
        <v>22</v>
      </c>
    </row>
    <row r="812" spans="1:11" x14ac:dyDescent="0.25">
      <c r="A812" s="1" t="s">
        <v>69</v>
      </c>
      <c r="B812" t="s">
        <v>42</v>
      </c>
      <c r="C812" t="s">
        <v>21</v>
      </c>
      <c r="D812" s="6">
        <f t="shared" si="12"/>
        <v>28665.52</v>
      </c>
      <c r="E812" s="5">
        <v>43</v>
      </c>
      <c r="F812" t="s">
        <v>29</v>
      </c>
      <c r="G812" s="6">
        <v>666.64</v>
      </c>
      <c r="H812" t="s">
        <v>17</v>
      </c>
      <c r="I812" s="7">
        <v>0</v>
      </c>
      <c r="J812" t="s">
        <v>27</v>
      </c>
      <c r="K812" t="s">
        <v>19</v>
      </c>
    </row>
    <row r="813" spans="1:11" x14ac:dyDescent="0.25">
      <c r="A813" s="1" t="s">
        <v>69</v>
      </c>
      <c r="B813" t="s">
        <v>24</v>
      </c>
      <c r="C813" t="s">
        <v>34</v>
      </c>
      <c r="D813" s="6">
        <f t="shared" si="12"/>
        <v>93038.426400000011</v>
      </c>
      <c r="E813" s="5">
        <v>29</v>
      </c>
      <c r="F813" t="s">
        <v>35</v>
      </c>
      <c r="G813" s="6">
        <v>4061.04</v>
      </c>
      <c r="H813" t="s">
        <v>17</v>
      </c>
      <c r="I813" s="7">
        <v>0.21</v>
      </c>
      <c r="J813" t="s">
        <v>31</v>
      </c>
      <c r="K813" t="s">
        <v>19</v>
      </c>
    </row>
    <row r="814" spans="1:11" x14ac:dyDescent="0.25">
      <c r="A814" s="1" t="s">
        <v>62</v>
      </c>
      <c r="B814" t="s">
        <v>24</v>
      </c>
      <c r="C814" t="s">
        <v>34</v>
      </c>
      <c r="D814" s="6">
        <f t="shared" si="12"/>
        <v>93258.583599999998</v>
      </c>
      <c r="E814" s="5">
        <v>41</v>
      </c>
      <c r="F814" t="s">
        <v>16</v>
      </c>
      <c r="G814" s="6">
        <v>2879.24</v>
      </c>
      <c r="H814" t="s">
        <v>30</v>
      </c>
      <c r="I814" s="7">
        <v>0.21</v>
      </c>
      <c r="J814" t="s">
        <v>27</v>
      </c>
      <c r="K814" t="s">
        <v>19</v>
      </c>
    </row>
    <row r="815" spans="1:11" x14ac:dyDescent="0.25">
      <c r="A815" s="1" t="s">
        <v>69</v>
      </c>
      <c r="B815" t="s">
        <v>33</v>
      </c>
      <c r="C815" t="s">
        <v>15</v>
      </c>
      <c r="D815" s="6">
        <f t="shared" si="12"/>
        <v>30441.109499999999</v>
      </c>
      <c r="E815" s="5">
        <v>23</v>
      </c>
      <c r="F815" t="s">
        <v>26</v>
      </c>
      <c r="G815" s="6">
        <v>1675.35</v>
      </c>
      <c r="H815" t="s">
        <v>30</v>
      </c>
      <c r="I815" s="7">
        <v>0.21</v>
      </c>
      <c r="J815" t="s">
        <v>18</v>
      </c>
      <c r="K815" t="s">
        <v>22</v>
      </c>
    </row>
    <row r="816" spans="1:11" x14ac:dyDescent="0.25">
      <c r="A816" s="1" t="s">
        <v>69</v>
      </c>
      <c r="B816" t="s">
        <v>33</v>
      </c>
      <c r="C816" t="s">
        <v>25</v>
      </c>
      <c r="D816" s="6">
        <f t="shared" si="12"/>
        <v>249625.88639999999</v>
      </c>
      <c r="E816" s="5">
        <v>48</v>
      </c>
      <c r="F816" t="s">
        <v>35</v>
      </c>
      <c r="G816" s="6">
        <v>5253.07</v>
      </c>
      <c r="H816" t="s">
        <v>17</v>
      </c>
      <c r="I816" s="7">
        <v>0.01</v>
      </c>
      <c r="J816" t="s">
        <v>27</v>
      </c>
      <c r="K816" t="s">
        <v>19</v>
      </c>
    </row>
    <row r="817" spans="1:11" x14ac:dyDescent="0.25">
      <c r="A817" s="1" t="s">
        <v>69</v>
      </c>
      <c r="B817" t="s">
        <v>38</v>
      </c>
      <c r="C817" t="s">
        <v>15</v>
      </c>
      <c r="D817" s="6">
        <f t="shared" si="12"/>
        <v>75799.832399999999</v>
      </c>
      <c r="E817" s="5">
        <v>27</v>
      </c>
      <c r="F817" t="s">
        <v>26</v>
      </c>
      <c r="G817" s="6">
        <v>3423.66</v>
      </c>
      <c r="H817" t="s">
        <v>30</v>
      </c>
      <c r="I817" s="7">
        <v>0.18</v>
      </c>
      <c r="J817" t="s">
        <v>31</v>
      </c>
      <c r="K817" t="s">
        <v>19</v>
      </c>
    </row>
    <row r="818" spans="1:11" x14ac:dyDescent="0.25">
      <c r="A818" s="1" t="s">
        <v>69</v>
      </c>
      <c r="B818" t="s">
        <v>24</v>
      </c>
      <c r="C818" t="s">
        <v>25</v>
      </c>
      <c r="D818" s="6">
        <f t="shared" si="12"/>
        <v>96142.277499999997</v>
      </c>
      <c r="E818" s="5">
        <v>25</v>
      </c>
      <c r="F818" t="s">
        <v>16</v>
      </c>
      <c r="G818" s="6">
        <v>3964.63</v>
      </c>
      <c r="H818" t="s">
        <v>17</v>
      </c>
      <c r="I818" s="7">
        <v>0.03</v>
      </c>
      <c r="J818" t="s">
        <v>31</v>
      </c>
      <c r="K818" t="s">
        <v>22</v>
      </c>
    </row>
    <row r="819" spans="1:11" x14ac:dyDescent="0.25">
      <c r="A819" s="1" t="s">
        <v>70</v>
      </c>
      <c r="B819" t="s">
        <v>38</v>
      </c>
      <c r="C819" t="s">
        <v>15</v>
      </c>
      <c r="D819" s="6">
        <f t="shared" si="12"/>
        <v>25201.175999999999</v>
      </c>
      <c r="E819" s="5">
        <v>13</v>
      </c>
      <c r="F819" t="s">
        <v>16</v>
      </c>
      <c r="G819" s="6">
        <v>2517.6</v>
      </c>
      <c r="H819" t="s">
        <v>30</v>
      </c>
      <c r="I819" s="7">
        <v>0.23</v>
      </c>
      <c r="J819" t="s">
        <v>27</v>
      </c>
      <c r="K819" t="s">
        <v>22</v>
      </c>
    </row>
    <row r="820" spans="1:11" x14ac:dyDescent="0.25">
      <c r="A820" s="1" t="s">
        <v>70</v>
      </c>
      <c r="B820" t="s">
        <v>38</v>
      </c>
      <c r="C820" t="s">
        <v>21</v>
      </c>
      <c r="D820" s="6">
        <f t="shared" si="12"/>
        <v>13462.890000000001</v>
      </c>
      <c r="E820" s="5">
        <v>21</v>
      </c>
      <c r="F820" t="s">
        <v>26</v>
      </c>
      <c r="G820" s="6">
        <v>641.09</v>
      </c>
      <c r="H820" t="s">
        <v>17</v>
      </c>
      <c r="I820" s="7">
        <v>0</v>
      </c>
      <c r="J820" t="s">
        <v>27</v>
      </c>
      <c r="K820" t="s">
        <v>22</v>
      </c>
    </row>
    <row r="821" spans="1:11" x14ac:dyDescent="0.25">
      <c r="A821" s="1" t="s">
        <v>70</v>
      </c>
      <c r="B821" t="s">
        <v>42</v>
      </c>
      <c r="C821" t="s">
        <v>25</v>
      </c>
      <c r="D821" s="6">
        <f t="shared" si="12"/>
        <v>57528.572400000005</v>
      </c>
      <c r="E821" s="5">
        <v>31</v>
      </c>
      <c r="F821" t="s">
        <v>16</v>
      </c>
      <c r="G821" s="6">
        <v>2441.79</v>
      </c>
      <c r="H821" t="s">
        <v>17</v>
      </c>
      <c r="I821" s="7">
        <v>0.24</v>
      </c>
      <c r="J821" t="s">
        <v>27</v>
      </c>
      <c r="K821" t="s">
        <v>19</v>
      </c>
    </row>
    <row r="822" spans="1:11" x14ac:dyDescent="0.25">
      <c r="A822" s="1" t="s">
        <v>71</v>
      </c>
      <c r="B822" t="s">
        <v>24</v>
      </c>
      <c r="C822" t="s">
        <v>15</v>
      </c>
      <c r="D822" s="6">
        <f t="shared" si="12"/>
        <v>97067.683999999703</v>
      </c>
      <c r="E822" s="5">
        <v>35</v>
      </c>
      <c r="F822" t="s">
        <v>35</v>
      </c>
      <c r="G822" s="6">
        <v>3224.8399999999901</v>
      </c>
      <c r="H822" t="s">
        <v>30</v>
      </c>
      <c r="I822" s="7">
        <v>0.14000000000000001</v>
      </c>
      <c r="J822" t="s">
        <v>18</v>
      </c>
      <c r="K822" t="s">
        <v>19</v>
      </c>
    </row>
    <row r="823" spans="1:11" x14ac:dyDescent="0.25">
      <c r="A823" s="1" t="s">
        <v>70</v>
      </c>
      <c r="B823" t="s">
        <v>14</v>
      </c>
      <c r="C823" t="s">
        <v>21</v>
      </c>
      <c r="D823" s="6">
        <f t="shared" si="12"/>
        <v>168310.98559999961</v>
      </c>
      <c r="E823" s="5">
        <v>47</v>
      </c>
      <c r="F823" t="s">
        <v>16</v>
      </c>
      <c r="G823" s="6">
        <v>4314.5599999999904</v>
      </c>
      <c r="H823" t="s">
        <v>30</v>
      </c>
      <c r="I823" s="7">
        <v>0.17</v>
      </c>
      <c r="J823" t="s">
        <v>27</v>
      </c>
      <c r="K823" t="s">
        <v>22</v>
      </c>
    </row>
    <row r="824" spans="1:11" x14ac:dyDescent="0.25">
      <c r="A824" s="1" t="s">
        <v>70</v>
      </c>
      <c r="B824" t="s">
        <v>42</v>
      </c>
      <c r="C824" t="s">
        <v>34</v>
      </c>
      <c r="D824" s="6">
        <f t="shared" si="12"/>
        <v>17798.399999999998</v>
      </c>
      <c r="E824" s="5">
        <v>12</v>
      </c>
      <c r="F824" t="s">
        <v>16</v>
      </c>
      <c r="G824" s="6">
        <v>1545</v>
      </c>
      <c r="H824" t="s">
        <v>17</v>
      </c>
      <c r="I824" s="7">
        <v>0.04</v>
      </c>
      <c r="J824" t="s">
        <v>27</v>
      </c>
      <c r="K824" t="s">
        <v>22</v>
      </c>
    </row>
    <row r="825" spans="1:11" x14ac:dyDescent="0.25">
      <c r="A825" s="1" t="s">
        <v>64</v>
      </c>
      <c r="B825" t="s">
        <v>24</v>
      </c>
      <c r="C825" t="s">
        <v>25</v>
      </c>
      <c r="D825" s="6">
        <f t="shared" si="12"/>
        <v>98674.083200000008</v>
      </c>
      <c r="E825" s="5">
        <v>22</v>
      </c>
      <c r="F825" t="s">
        <v>35</v>
      </c>
      <c r="G825" s="6">
        <v>4576.72</v>
      </c>
      <c r="H825" t="s">
        <v>17</v>
      </c>
      <c r="I825" s="7">
        <v>0.02</v>
      </c>
      <c r="J825" t="s">
        <v>18</v>
      </c>
      <c r="K825" t="s">
        <v>22</v>
      </c>
    </row>
    <row r="826" spans="1:11" x14ac:dyDescent="0.25">
      <c r="A826" s="1" t="s">
        <v>70</v>
      </c>
      <c r="B826" t="s">
        <v>42</v>
      </c>
      <c r="C826" t="s">
        <v>21</v>
      </c>
      <c r="D826" s="6">
        <f t="shared" si="12"/>
        <v>78680.908799999757</v>
      </c>
      <c r="E826" s="5">
        <v>32</v>
      </c>
      <c r="F826" t="s">
        <v>35</v>
      </c>
      <c r="G826" s="6">
        <v>3152.2799999999902</v>
      </c>
      <c r="H826" t="s">
        <v>17</v>
      </c>
      <c r="I826" s="7">
        <v>0.22</v>
      </c>
      <c r="J826" t="s">
        <v>18</v>
      </c>
      <c r="K826" t="s">
        <v>22</v>
      </c>
    </row>
    <row r="827" spans="1:11" x14ac:dyDescent="0.25">
      <c r="A827" s="1" t="s">
        <v>71</v>
      </c>
      <c r="B827" t="s">
        <v>24</v>
      </c>
      <c r="C827" t="s">
        <v>21</v>
      </c>
      <c r="D827" s="6">
        <f t="shared" si="12"/>
        <v>99848.003999999986</v>
      </c>
      <c r="E827" s="5">
        <v>40</v>
      </c>
      <c r="F827" t="s">
        <v>16</v>
      </c>
      <c r="G827" s="6">
        <v>3007.47</v>
      </c>
      <c r="H827" t="s">
        <v>17</v>
      </c>
      <c r="I827" s="7">
        <v>0.17</v>
      </c>
      <c r="J827" t="s">
        <v>31</v>
      </c>
      <c r="K827" t="s">
        <v>22</v>
      </c>
    </row>
    <row r="828" spans="1:11" x14ac:dyDescent="0.25">
      <c r="A828" s="1" t="s">
        <v>70</v>
      </c>
      <c r="B828" t="s">
        <v>24</v>
      </c>
      <c r="C828" t="s">
        <v>25</v>
      </c>
      <c r="D828" s="6">
        <f t="shared" si="12"/>
        <v>102177.72</v>
      </c>
      <c r="E828" s="5">
        <v>48</v>
      </c>
      <c r="F828" t="s">
        <v>29</v>
      </c>
      <c r="G828" s="6">
        <v>2838.27</v>
      </c>
      <c r="H828" t="s">
        <v>30</v>
      </c>
      <c r="I828" s="7">
        <v>0.25</v>
      </c>
      <c r="J828" t="s">
        <v>31</v>
      </c>
      <c r="K828" t="s">
        <v>19</v>
      </c>
    </row>
    <row r="829" spans="1:11" x14ac:dyDescent="0.25">
      <c r="A829" s="1" t="s">
        <v>70</v>
      </c>
      <c r="B829" t="s">
        <v>33</v>
      </c>
      <c r="C829" t="s">
        <v>15</v>
      </c>
      <c r="D829" s="6">
        <f t="shared" si="12"/>
        <v>55871.121599999999</v>
      </c>
      <c r="E829" s="5">
        <v>28</v>
      </c>
      <c r="F829" t="s">
        <v>29</v>
      </c>
      <c r="G829" s="6">
        <v>2168.91</v>
      </c>
      <c r="H829" t="s">
        <v>17</v>
      </c>
      <c r="I829" s="7">
        <v>0.08</v>
      </c>
      <c r="J829" t="s">
        <v>18</v>
      </c>
      <c r="K829" t="s">
        <v>22</v>
      </c>
    </row>
    <row r="830" spans="1:11" x14ac:dyDescent="0.25">
      <c r="A830" s="1" t="s">
        <v>70</v>
      </c>
      <c r="B830" t="s">
        <v>38</v>
      </c>
      <c r="C830" t="s">
        <v>34</v>
      </c>
      <c r="D830" s="6">
        <f t="shared" si="12"/>
        <v>1736.4509999999998</v>
      </c>
      <c r="E830" s="5">
        <v>2</v>
      </c>
      <c r="F830" t="s">
        <v>16</v>
      </c>
      <c r="G830" s="6">
        <v>1189.3499999999999</v>
      </c>
      <c r="H830" t="s">
        <v>30</v>
      </c>
      <c r="I830" s="7">
        <v>0.27</v>
      </c>
      <c r="J830" t="s">
        <v>27</v>
      </c>
      <c r="K830" t="s">
        <v>19</v>
      </c>
    </row>
    <row r="831" spans="1:11" x14ac:dyDescent="0.25">
      <c r="A831" s="1" t="s">
        <v>70</v>
      </c>
      <c r="B831" t="s">
        <v>42</v>
      </c>
      <c r="C831" t="s">
        <v>34</v>
      </c>
      <c r="D831" s="6">
        <f t="shared" si="12"/>
        <v>28669.635000000002</v>
      </c>
      <c r="E831" s="5">
        <v>37</v>
      </c>
      <c r="F831" t="s">
        <v>35</v>
      </c>
      <c r="G831" s="6">
        <v>860.95</v>
      </c>
      <c r="H831" t="s">
        <v>30</v>
      </c>
      <c r="I831" s="7">
        <v>0.1</v>
      </c>
      <c r="J831" t="s">
        <v>31</v>
      </c>
      <c r="K831" t="s">
        <v>22</v>
      </c>
    </row>
    <row r="832" spans="1:11" x14ac:dyDescent="0.25">
      <c r="A832" s="1" t="s">
        <v>70</v>
      </c>
      <c r="B832" t="s">
        <v>14</v>
      </c>
      <c r="C832" t="s">
        <v>34</v>
      </c>
      <c r="D832" s="6">
        <f t="shared" si="12"/>
        <v>32778.626400000001</v>
      </c>
      <c r="E832" s="5">
        <v>36</v>
      </c>
      <c r="F832" t="s">
        <v>26</v>
      </c>
      <c r="G832" s="6">
        <v>1167.33</v>
      </c>
      <c r="H832" t="s">
        <v>30</v>
      </c>
      <c r="I832" s="7">
        <v>0.22</v>
      </c>
      <c r="J832" t="s">
        <v>18</v>
      </c>
      <c r="K832" t="s">
        <v>19</v>
      </c>
    </row>
    <row r="833" spans="1:11" x14ac:dyDescent="0.25">
      <c r="A833" s="1" t="s">
        <v>70</v>
      </c>
      <c r="B833" t="s">
        <v>33</v>
      </c>
      <c r="C833" t="s">
        <v>25</v>
      </c>
      <c r="D833" s="6">
        <f t="shared" si="12"/>
        <v>45848.9856</v>
      </c>
      <c r="E833" s="5">
        <v>32</v>
      </c>
      <c r="F833" t="s">
        <v>16</v>
      </c>
      <c r="G833" s="6">
        <v>1492.48</v>
      </c>
      <c r="H833" t="s">
        <v>17</v>
      </c>
      <c r="I833" s="7">
        <v>0.04</v>
      </c>
      <c r="J833" t="s">
        <v>31</v>
      </c>
      <c r="K833" t="s">
        <v>22</v>
      </c>
    </row>
    <row r="834" spans="1:11" x14ac:dyDescent="0.25">
      <c r="A834" s="1" t="s">
        <v>70</v>
      </c>
      <c r="B834" t="s">
        <v>42</v>
      </c>
      <c r="C834" t="s">
        <v>25</v>
      </c>
      <c r="D834" s="6">
        <f t="shared" ref="D834:D897" si="13">(Unit_Price*Qty_Sold)*(1-Discount)</f>
        <v>46802.578300000008</v>
      </c>
      <c r="E834" s="5">
        <v>41</v>
      </c>
      <c r="F834" t="s">
        <v>35</v>
      </c>
      <c r="G834" s="6">
        <v>1444.97</v>
      </c>
      <c r="H834" t="s">
        <v>17</v>
      </c>
      <c r="I834" s="7">
        <v>0.21</v>
      </c>
      <c r="J834" t="s">
        <v>27</v>
      </c>
      <c r="K834" t="s">
        <v>19</v>
      </c>
    </row>
    <row r="835" spans="1:11" x14ac:dyDescent="0.25">
      <c r="A835" s="1" t="s">
        <v>71</v>
      </c>
      <c r="B835" t="s">
        <v>24</v>
      </c>
      <c r="C835" t="s">
        <v>15</v>
      </c>
      <c r="D835" s="6">
        <f t="shared" si="13"/>
        <v>102386.3216</v>
      </c>
      <c r="E835" s="5">
        <v>34</v>
      </c>
      <c r="F835" t="s">
        <v>35</v>
      </c>
      <c r="G835" s="6">
        <v>3273.22</v>
      </c>
      <c r="H835" t="s">
        <v>17</v>
      </c>
      <c r="I835" s="7">
        <v>0.08</v>
      </c>
      <c r="J835" t="s">
        <v>31</v>
      </c>
      <c r="K835" t="s">
        <v>22</v>
      </c>
    </row>
    <row r="836" spans="1:11" x14ac:dyDescent="0.25">
      <c r="A836" s="1" t="s">
        <v>70</v>
      </c>
      <c r="B836" t="s">
        <v>38</v>
      </c>
      <c r="C836" t="s">
        <v>34</v>
      </c>
      <c r="D836" s="6">
        <f t="shared" si="13"/>
        <v>2573.5789999999997</v>
      </c>
      <c r="E836" s="5">
        <v>1</v>
      </c>
      <c r="F836" t="s">
        <v>16</v>
      </c>
      <c r="G836" s="6">
        <v>3027.74</v>
      </c>
      <c r="H836" t="s">
        <v>30</v>
      </c>
      <c r="I836" s="7">
        <v>0.15</v>
      </c>
      <c r="J836" t="s">
        <v>27</v>
      </c>
      <c r="K836" t="s">
        <v>22</v>
      </c>
    </row>
    <row r="837" spans="1:11" x14ac:dyDescent="0.25">
      <c r="A837" s="1" t="s">
        <v>70</v>
      </c>
      <c r="B837" t="s">
        <v>14</v>
      </c>
      <c r="C837" t="s">
        <v>34</v>
      </c>
      <c r="D837" s="6">
        <f t="shared" si="13"/>
        <v>22473.0072</v>
      </c>
      <c r="E837" s="5">
        <v>18</v>
      </c>
      <c r="F837" t="s">
        <v>26</v>
      </c>
      <c r="G837" s="6">
        <v>1273.98</v>
      </c>
      <c r="H837" t="s">
        <v>30</v>
      </c>
      <c r="I837" s="7">
        <v>0.02</v>
      </c>
      <c r="J837" t="s">
        <v>27</v>
      </c>
      <c r="K837" t="s">
        <v>22</v>
      </c>
    </row>
    <row r="838" spans="1:11" x14ac:dyDescent="0.25">
      <c r="A838" s="1" t="s">
        <v>70</v>
      </c>
      <c r="B838" t="s">
        <v>42</v>
      </c>
      <c r="C838" t="s">
        <v>15</v>
      </c>
      <c r="D838" s="6">
        <f t="shared" si="13"/>
        <v>27149.085600000002</v>
      </c>
      <c r="E838" s="5">
        <v>8</v>
      </c>
      <c r="F838" t="s">
        <v>35</v>
      </c>
      <c r="G838" s="6">
        <v>3729.27</v>
      </c>
      <c r="H838" t="s">
        <v>30</v>
      </c>
      <c r="I838" s="7">
        <v>0.09</v>
      </c>
      <c r="J838" t="s">
        <v>27</v>
      </c>
      <c r="K838" t="s">
        <v>22</v>
      </c>
    </row>
    <row r="839" spans="1:11" x14ac:dyDescent="0.25">
      <c r="A839" s="1" t="s">
        <v>70</v>
      </c>
      <c r="B839" t="s">
        <v>42</v>
      </c>
      <c r="C839" t="s">
        <v>34</v>
      </c>
      <c r="D839" s="6">
        <f t="shared" si="13"/>
        <v>12654.55</v>
      </c>
      <c r="E839" s="5">
        <v>25</v>
      </c>
      <c r="F839" t="s">
        <v>29</v>
      </c>
      <c r="G839" s="6">
        <v>693.4</v>
      </c>
      <c r="H839" t="s">
        <v>30</v>
      </c>
      <c r="I839" s="7">
        <v>0.27</v>
      </c>
      <c r="J839" t="s">
        <v>31</v>
      </c>
      <c r="K839" t="s">
        <v>22</v>
      </c>
    </row>
    <row r="840" spans="1:11" x14ac:dyDescent="0.25">
      <c r="A840" s="1" t="s">
        <v>70</v>
      </c>
      <c r="B840" t="s">
        <v>42</v>
      </c>
      <c r="C840" t="s">
        <v>34</v>
      </c>
      <c r="D840" s="6">
        <f t="shared" si="13"/>
        <v>10077.2364</v>
      </c>
      <c r="E840" s="5">
        <v>3</v>
      </c>
      <c r="F840" t="s">
        <v>16</v>
      </c>
      <c r="G840" s="6">
        <v>4362.4399999999996</v>
      </c>
      <c r="H840" t="s">
        <v>30</v>
      </c>
      <c r="I840" s="7">
        <v>0.23</v>
      </c>
      <c r="J840" t="s">
        <v>27</v>
      </c>
      <c r="K840" t="s">
        <v>22</v>
      </c>
    </row>
    <row r="841" spans="1:11" x14ac:dyDescent="0.25">
      <c r="A841" s="1" t="s">
        <v>70</v>
      </c>
      <c r="B841" t="s">
        <v>42</v>
      </c>
      <c r="C841" t="s">
        <v>34</v>
      </c>
      <c r="D841" s="6">
        <f t="shared" si="13"/>
        <v>154.16140000000001</v>
      </c>
      <c r="E841" s="5">
        <v>1</v>
      </c>
      <c r="F841" t="s">
        <v>26</v>
      </c>
      <c r="G841" s="6">
        <v>211.18</v>
      </c>
      <c r="H841" t="s">
        <v>17</v>
      </c>
      <c r="I841" s="7">
        <v>0.27</v>
      </c>
      <c r="J841" t="s">
        <v>27</v>
      </c>
      <c r="K841" t="s">
        <v>22</v>
      </c>
    </row>
    <row r="842" spans="1:11" x14ac:dyDescent="0.25">
      <c r="A842" s="1" t="s">
        <v>70</v>
      </c>
      <c r="B842" t="s">
        <v>14</v>
      </c>
      <c r="C842" t="s">
        <v>25</v>
      </c>
      <c r="D842" s="6">
        <f t="shared" si="13"/>
        <v>4919.4449999999997</v>
      </c>
      <c r="E842" s="5">
        <v>3</v>
      </c>
      <c r="F842" t="s">
        <v>35</v>
      </c>
      <c r="G842" s="6">
        <v>2186.42</v>
      </c>
      <c r="H842" t="s">
        <v>30</v>
      </c>
      <c r="I842" s="7">
        <v>0.25</v>
      </c>
      <c r="J842" t="s">
        <v>27</v>
      </c>
      <c r="K842" t="s">
        <v>19</v>
      </c>
    </row>
    <row r="843" spans="1:11" x14ac:dyDescent="0.25">
      <c r="A843" s="1" t="s">
        <v>70</v>
      </c>
      <c r="B843" t="s">
        <v>42</v>
      </c>
      <c r="C843" t="s">
        <v>34</v>
      </c>
      <c r="D843" s="6">
        <f t="shared" si="13"/>
        <v>3915.2795000000001</v>
      </c>
      <c r="E843" s="5">
        <v>5</v>
      </c>
      <c r="F843" t="s">
        <v>26</v>
      </c>
      <c r="G843" s="6">
        <v>991.21</v>
      </c>
      <c r="H843" t="s">
        <v>17</v>
      </c>
      <c r="I843" s="7">
        <v>0.21</v>
      </c>
      <c r="J843" t="s">
        <v>31</v>
      </c>
      <c r="K843" t="s">
        <v>19</v>
      </c>
    </row>
    <row r="844" spans="1:11" x14ac:dyDescent="0.25">
      <c r="A844" s="1" t="s">
        <v>70</v>
      </c>
      <c r="B844" t="s">
        <v>33</v>
      </c>
      <c r="C844" t="s">
        <v>21</v>
      </c>
      <c r="D844" s="6">
        <f t="shared" si="13"/>
        <v>21428.539199999996</v>
      </c>
      <c r="E844" s="5">
        <v>6</v>
      </c>
      <c r="F844" t="s">
        <v>35</v>
      </c>
      <c r="G844" s="6">
        <v>3840.24</v>
      </c>
      <c r="H844" t="s">
        <v>30</v>
      </c>
      <c r="I844" s="7">
        <v>7.0000000000000007E-2</v>
      </c>
      <c r="J844" t="s">
        <v>31</v>
      </c>
      <c r="K844" t="s">
        <v>19</v>
      </c>
    </row>
    <row r="845" spans="1:11" x14ac:dyDescent="0.25">
      <c r="A845" s="1" t="s">
        <v>65</v>
      </c>
      <c r="B845" t="s">
        <v>24</v>
      </c>
      <c r="C845" t="s">
        <v>34</v>
      </c>
      <c r="D845" s="6">
        <f t="shared" si="13"/>
        <v>102444.76</v>
      </c>
      <c r="E845" s="5">
        <v>22</v>
      </c>
      <c r="F845" t="s">
        <v>35</v>
      </c>
      <c r="G845" s="6">
        <v>4656.58</v>
      </c>
      <c r="H845" t="s">
        <v>30</v>
      </c>
      <c r="I845" s="7">
        <v>0</v>
      </c>
      <c r="J845" t="s">
        <v>27</v>
      </c>
      <c r="K845" t="s">
        <v>19</v>
      </c>
    </row>
    <row r="846" spans="1:11" x14ac:dyDescent="0.25">
      <c r="A846" s="1" t="s">
        <v>70</v>
      </c>
      <c r="B846" t="s">
        <v>38</v>
      </c>
      <c r="C846" t="s">
        <v>25</v>
      </c>
      <c r="D846" s="6">
        <f t="shared" si="13"/>
        <v>14062.306499999999</v>
      </c>
      <c r="E846" s="5">
        <v>9</v>
      </c>
      <c r="F846" t="s">
        <v>35</v>
      </c>
      <c r="G846" s="6">
        <v>1838.21</v>
      </c>
      <c r="H846" t="s">
        <v>30</v>
      </c>
      <c r="I846" s="7">
        <v>0.15</v>
      </c>
      <c r="J846" t="s">
        <v>27</v>
      </c>
      <c r="K846" t="s">
        <v>22</v>
      </c>
    </row>
    <row r="847" spans="1:11" x14ac:dyDescent="0.25">
      <c r="A847" s="1" t="s">
        <v>70</v>
      </c>
      <c r="B847" t="s">
        <v>14</v>
      </c>
      <c r="C847" t="s">
        <v>15</v>
      </c>
      <c r="D847" s="6">
        <f t="shared" si="13"/>
        <v>3532.4405999999926</v>
      </c>
      <c r="E847" s="5">
        <v>1</v>
      </c>
      <c r="F847" t="s">
        <v>26</v>
      </c>
      <c r="G847" s="6">
        <v>4528.7699999999904</v>
      </c>
      <c r="H847" t="s">
        <v>17</v>
      </c>
      <c r="I847" s="7">
        <v>0.22</v>
      </c>
      <c r="J847" t="s">
        <v>27</v>
      </c>
      <c r="K847" t="s">
        <v>19</v>
      </c>
    </row>
    <row r="848" spans="1:11" x14ac:dyDescent="0.25">
      <c r="A848" s="1" t="s">
        <v>70</v>
      </c>
      <c r="B848" t="s">
        <v>38</v>
      </c>
      <c r="C848" t="s">
        <v>34</v>
      </c>
      <c r="D848" s="6">
        <f t="shared" si="13"/>
        <v>33138.190800000004</v>
      </c>
      <c r="E848" s="5">
        <v>11</v>
      </c>
      <c r="F848" t="s">
        <v>26</v>
      </c>
      <c r="G848" s="6">
        <v>3862.26</v>
      </c>
      <c r="H848" t="s">
        <v>30</v>
      </c>
      <c r="I848" s="7">
        <v>0.22</v>
      </c>
      <c r="J848" t="s">
        <v>31</v>
      </c>
      <c r="K848" t="s">
        <v>22</v>
      </c>
    </row>
    <row r="849" spans="1:11" x14ac:dyDescent="0.25">
      <c r="A849" s="1" t="s">
        <v>70</v>
      </c>
      <c r="B849" t="s">
        <v>14</v>
      </c>
      <c r="C849" t="s">
        <v>34</v>
      </c>
      <c r="D849" s="6">
        <f t="shared" si="13"/>
        <v>62576.25</v>
      </c>
      <c r="E849" s="5">
        <v>25</v>
      </c>
      <c r="F849" t="s">
        <v>35</v>
      </c>
      <c r="G849" s="6">
        <v>3337.4</v>
      </c>
      <c r="H849" t="s">
        <v>17</v>
      </c>
      <c r="I849" s="7">
        <v>0.25</v>
      </c>
      <c r="J849" t="s">
        <v>31</v>
      </c>
      <c r="K849" t="s">
        <v>22</v>
      </c>
    </row>
    <row r="850" spans="1:11" x14ac:dyDescent="0.25">
      <c r="A850" s="1" t="s">
        <v>70</v>
      </c>
      <c r="B850" t="s">
        <v>42</v>
      </c>
      <c r="C850" t="s">
        <v>21</v>
      </c>
      <c r="D850" s="6">
        <f t="shared" si="13"/>
        <v>787.84159999999997</v>
      </c>
      <c r="E850" s="5">
        <v>1</v>
      </c>
      <c r="F850" t="s">
        <v>26</v>
      </c>
      <c r="G850" s="6">
        <v>865.76</v>
      </c>
      <c r="H850" t="s">
        <v>17</v>
      </c>
      <c r="I850" s="7">
        <v>0.09</v>
      </c>
      <c r="J850" t="s">
        <v>27</v>
      </c>
      <c r="K850" t="s">
        <v>22</v>
      </c>
    </row>
    <row r="851" spans="1:11" x14ac:dyDescent="0.25">
      <c r="A851" s="1" t="s">
        <v>70</v>
      </c>
      <c r="B851" t="s">
        <v>14</v>
      </c>
      <c r="C851" t="s">
        <v>34</v>
      </c>
      <c r="D851" s="6">
        <f t="shared" si="13"/>
        <v>61374.741599999674</v>
      </c>
      <c r="E851" s="5">
        <v>37</v>
      </c>
      <c r="F851" t="s">
        <v>26</v>
      </c>
      <c r="G851" s="6">
        <v>1906.6399999999901</v>
      </c>
      <c r="H851" t="s">
        <v>30</v>
      </c>
      <c r="I851" s="7">
        <v>0.13</v>
      </c>
      <c r="J851" t="s">
        <v>27</v>
      </c>
      <c r="K851" t="s">
        <v>19</v>
      </c>
    </row>
    <row r="852" spans="1:11" x14ac:dyDescent="0.25">
      <c r="A852" s="1" t="s">
        <v>66</v>
      </c>
      <c r="B852" t="s">
        <v>24</v>
      </c>
      <c r="C852" t="s">
        <v>34</v>
      </c>
      <c r="D852" s="6">
        <f t="shared" si="13"/>
        <v>103349.00970000001</v>
      </c>
      <c r="E852" s="5">
        <v>47</v>
      </c>
      <c r="F852" t="s">
        <v>16</v>
      </c>
      <c r="G852" s="6">
        <v>2714.71</v>
      </c>
      <c r="H852" t="s">
        <v>30</v>
      </c>
      <c r="I852" s="7">
        <v>0.19</v>
      </c>
      <c r="J852" t="s">
        <v>18</v>
      </c>
      <c r="K852" t="s">
        <v>22</v>
      </c>
    </row>
    <row r="853" spans="1:11" x14ac:dyDescent="0.25">
      <c r="A853" s="1" t="s">
        <v>70</v>
      </c>
      <c r="B853" t="s">
        <v>38</v>
      </c>
      <c r="C853" t="s">
        <v>34</v>
      </c>
      <c r="D853" s="6">
        <f t="shared" si="13"/>
        <v>96610.60500000001</v>
      </c>
      <c r="E853" s="5">
        <v>26</v>
      </c>
      <c r="F853" t="s">
        <v>29</v>
      </c>
      <c r="G853" s="6">
        <v>4954.3900000000003</v>
      </c>
      <c r="H853" t="s">
        <v>30</v>
      </c>
      <c r="I853" s="7">
        <v>0.25</v>
      </c>
      <c r="J853" t="s">
        <v>27</v>
      </c>
      <c r="K853" t="s">
        <v>19</v>
      </c>
    </row>
    <row r="854" spans="1:11" x14ac:dyDescent="0.25">
      <c r="A854" s="1" t="s">
        <v>70</v>
      </c>
      <c r="B854" t="s">
        <v>38</v>
      </c>
      <c r="C854" t="s">
        <v>15</v>
      </c>
      <c r="D854" s="6">
        <f t="shared" si="13"/>
        <v>17147.004000000001</v>
      </c>
      <c r="E854" s="5">
        <v>6</v>
      </c>
      <c r="F854" t="s">
        <v>29</v>
      </c>
      <c r="G854" s="6">
        <v>4082.62</v>
      </c>
      <c r="H854" t="s">
        <v>17</v>
      </c>
      <c r="I854" s="7">
        <v>0.3</v>
      </c>
      <c r="J854" t="s">
        <v>27</v>
      </c>
      <c r="K854" t="s">
        <v>22</v>
      </c>
    </row>
    <row r="855" spans="1:11" x14ac:dyDescent="0.25">
      <c r="A855" s="1" t="s">
        <v>70</v>
      </c>
      <c r="B855" t="s">
        <v>14</v>
      </c>
      <c r="C855" t="s">
        <v>25</v>
      </c>
      <c r="D855" s="6">
        <f t="shared" si="13"/>
        <v>12483.055199999999</v>
      </c>
      <c r="E855" s="5">
        <v>14</v>
      </c>
      <c r="F855" t="s">
        <v>26</v>
      </c>
      <c r="G855" s="6">
        <v>958.76</v>
      </c>
      <c r="H855" t="s">
        <v>17</v>
      </c>
      <c r="I855" s="7">
        <v>7.0000000000000007E-2</v>
      </c>
      <c r="J855" t="s">
        <v>31</v>
      </c>
      <c r="K855" t="s">
        <v>22</v>
      </c>
    </row>
    <row r="856" spans="1:11" x14ac:dyDescent="0.25">
      <c r="A856" s="1" t="s">
        <v>70</v>
      </c>
      <c r="B856" t="s">
        <v>14</v>
      </c>
      <c r="C856" t="s">
        <v>21</v>
      </c>
      <c r="D856" s="6">
        <f t="shared" si="13"/>
        <v>55587.35</v>
      </c>
      <c r="E856" s="5">
        <v>19</v>
      </c>
      <c r="F856" t="s">
        <v>16</v>
      </c>
      <c r="G856" s="6">
        <v>3215</v>
      </c>
      <c r="H856" t="s">
        <v>17</v>
      </c>
      <c r="I856" s="7">
        <v>0.09</v>
      </c>
      <c r="J856" t="s">
        <v>31</v>
      </c>
      <c r="K856" t="s">
        <v>22</v>
      </c>
    </row>
    <row r="857" spans="1:11" x14ac:dyDescent="0.25">
      <c r="A857" s="1" t="s">
        <v>70</v>
      </c>
      <c r="B857" t="s">
        <v>14</v>
      </c>
      <c r="C857" t="s">
        <v>34</v>
      </c>
      <c r="D857" s="6">
        <f t="shared" si="13"/>
        <v>9143.9712</v>
      </c>
      <c r="E857" s="5">
        <v>13</v>
      </c>
      <c r="F857" t="s">
        <v>26</v>
      </c>
      <c r="G857" s="6">
        <v>732.69</v>
      </c>
      <c r="H857" t="s">
        <v>30</v>
      </c>
      <c r="I857" s="7">
        <v>0.04</v>
      </c>
      <c r="J857" t="s">
        <v>18</v>
      </c>
      <c r="K857" t="s">
        <v>22</v>
      </c>
    </row>
    <row r="858" spans="1:11" x14ac:dyDescent="0.25">
      <c r="A858" s="1" t="s">
        <v>69</v>
      </c>
      <c r="B858" t="s">
        <v>24</v>
      </c>
      <c r="C858" t="s">
        <v>15</v>
      </c>
      <c r="D858" s="6">
        <f t="shared" si="13"/>
        <v>104462.68339999998</v>
      </c>
      <c r="E858" s="5">
        <v>46</v>
      </c>
      <c r="F858" t="s">
        <v>35</v>
      </c>
      <c r="G858" s="6">
        <v>3198.49</v>
      </c>
      <c r="H858" t="s">
        <v>17</v>
      </c>
      <c r="I858" s="7">
        <v>0.28999999999999998</v>
      </c>
      <c r="J858" t="s">
        <v>18</v>
      </c>
      <c r="K858" t="s">
        <v>22</v>
      </c>
    </row>
    <row r="859" spans="1:11" x14ac:dyDescent="0.25">
      <c r="A859" s="1" t="s">
        <v>62</v>
      </c>
      <c r="B859" t="s">
        <v>24</v>
      </c>
      <c r="C859" t="s">
        <v>34</v>
      </c>
      <c r="D859" s="6">
        <f t="shared" si="13"/>
        <v>106091.6836</v>
      </c>
      <c r="E859" s="5">
        <v>49</v>
      </c>
      <c r="F859" t="s">
        <v>16</v>
      </c>
      <c r="G859" s="6">
        <v>2925.86</v>
      </c>
      <c r="H859" t="s">
        <v>17</v>
      </c>
      <c r="I859" s="7">
        <v>0.26</v>
      </c>
      <c r="J859" t="s">
        <v>18</v>
      </c>
      <c r="K859" t="s">
        <v>22</v>
      </c>
    </row>
    <row r="860" spans="1:11" x14ac:dyDescent="0.25">
      <c r="A860" s="1" t="s">
        <v>70</v>
      </c>
      <c r="B860" t="s">
        <v>38</v>
      </c>
      <c r="C860" t="s">
        <v>15</v>
      </c>
      <c r="D860" s="6">
        <f t="shared" si="13"/>
        <v>53078.13</v>
      </c>
      <c r="E860" s="5">
        <v>15</v>
      </c>
      <c r="F860" t="s">
        <v>26</v>
      </c>
      <c r="G860" s="6">
        <v>4212.55</v>
      </c>
      <c r="H860" t="s">
        <v>17</v>
      </c>
      <c r="I860" s="7">
        <v>0.16</v>
      </c>
      <c r="J860" t="s">
        <v>31</v>
      </c>
      <c r="K860" t="s">
        <v>22</v>
      </c>
    </row>
    <row r="861" spans="1:11" x14ac:dyDescent="0.25">
      <c r="A861" s="1" t="s">
        <v>70</v>
      </c>
      <c r="B861" t="s">
        <v>42</v>
      </c>
      <c r="C861" t="s">
        <v>21</v>
      </c>
      <c r="D861" s="6">
        <f t="shared" si="13"/>
        <v>56637.458800000008</v>
      </c>
      <c r="E861" s="5">
        <v>31</v>
      </c>
      <c r="F861" t="s">
        <v>26</v>
      </c>
      <c r="G861" s="6">
        <v>2502.7600000000002</v>
      </c>
      <c r="H861" t="s">
        <v>17</v>
      </c>
      <c r="I861" s="7">
        <v>0.27</v>
      </c>
      <c r="J861" t="s">
        <v>18</v>
      </c>
      <c r="K861" t="s">
        <v>22</v>
      </c>
    </row>
    <row r="862" spans="1:11" x14ac:dyDescent="0.25">
      <c r="A862" s="1" t="s">
        <v>70</v>
      </c>
      <c r="B862" t="s">
        <v>42</v>
      </c>
      <c r="C862" t="s">
        <v>21</v>
      </c>
      <c r="D862" s="6">
        <f t="shared" si="13"/>
        <v>68153.326799999995</v>
      </c>
      <c r="E862" s="5">
        <v>39</v>
      </c>
      <c r="F862" t="s">
        <v>35</v>
      </c>
      <c r="G862" s="6">
        <v>2299.37</v>
      </c>
      <c r="H862" t="s">
        <v>17</v>
      </c>
      <c r="I862" s="7">
        <v>0.24</v>
      </c>
      <c r="J862" t="s">
        <v>27</v>
      </c>
      <c r="K862" t="s">
        <v>22</v>
      </c>
    </row>
    <row r="863" spans="1:11" x14ac:dyDescent="0.25">
      <c r="A863" s="1" t="s">
        <v>70</v>
      </c>
      <c r="B863" t="s">
        <v>33</v>
      </c>
      <c r="C863" t="s">
        <v>15</v>
      </c>
      <c r="D863" s="6">
        <f t="shared" si="13"/>
        <v>69565.861199999999</v>
      </c>
      <c r="E863" s="5">
        <v>22</v>
      </c>
      <c r="F863" t="s">
        <v>16</v>
      </c>
      <c r="G863" s="6">
        <v>3634.58</v>
      </c>
      <c r="H863" t="s">
        <v>30</v>
      </c>
      <c r="I863" s="7">
        <v>0.13</v>
      </c>
      <c r="J863" t="s">
        <v>27</v>
      </c>
      <c r="K863" t="s">
        <v>19</v>
      </c>
    </row>
    <row r="864" spans="1:11" x14ac:dyDescent="0.25">
      <c r="A864" s="1" t="s">
        <v>66</v>
      </c>
      <c r="B864" t="s">
        <v>24</v>
      </c>
      <c r="C864" t="s">
        <v>25</v>
      </c>
      <c r="D864" s="6">
        <f t="shared" si="13"/>
        <v>106142.36159999958</v>
      </c>
      <c r="E864" s="5">
        <v>44</v>
      </c>
      <c r="F864" t="s">
        <v>29</v>
      </c>
      <c r="G864" s="6">
        <v>2512.8399999999901</v>
      </c>
      <c r="H864" t="s">
        <v>17</v>
      </c>
      <c r="I864" s="7">
        <v>0.04</v>
      </c>
      <c r="J864" t="s">
        <v>18</v>
      </c>
      <c r="K864" t="s">
        <v>19</v>
      </c>
    </row>
    <row r="865" spans="1:11" x14ac:dyDescent="0.25">
      <c r="A865" s="1" t="s">
        <v>70</v>
      </c>
      <c r="B865" t="s">
        <v>38</v>
      </c>
      <c r="C865" t="s">
        <v>34</v>
      </c>
      <c r="D865" s="6">
        <f t="shared" si="13"/>
        <v>22498.139999999996</v>
      </c>
      <c r="E865" s="5">
        <v>30</v>
      </c>
      <c r="F865" t="s">
        <v>35</v>
      </c>
      <c r="G865" s="6">
        <v>882.28</v>
      </c>
      <c r="H865" t="s">
        <v>17</v>
      </c>
      <c r="I865" s="7">
        <v>0.15</v>
      </c>
      <c r="J865" t="s">
        <v>31</v>
      </c>
      <c r="K865" t="s">
        <v>19</v>
      </c>
    </row>
    <row r="866" spans="1:11" x14ac:dyDescent="0.25">
      <c r="A866" s="1" t="s">
        <v>62</v>
      </c>
      <c r="B866" t="s">
        <v>24</v>
      </c>
      <c r="C866" t="s">
        <v>34</v>
      </c>
      <c r="D866" s="6">
        <f t="shared" si="13"/>
        <v>107354.30739999999</v>
      </c>
      <c r="E866" s="5">
        <v>47</v>
      </c>
      <c r="F866" t="s">
        <v>16</v>
      </c>
      <c r="G866" s="6">
        <v>2429.9299999999998</v>
      </c>
      <c r="H866" t="s">
        <v>17</v>
      </c>
      <c r="I866" s="7">
        <v>0.06</v>
      </c>
      <c r="J866" t="s">
        <v>27</v>
      </c>
      <c r="K866" t="s">
        <v>19</v>
      </c>
    </row>
    <row r="867" spans="1:11" x14ac:dyDescent="0.25">
      <c r="A867" s="1" t="s">
        <v>65</v>
      </c>
      <c r="B867" t="s">
        <v>24</v>
      </c>
      <c r="C867" t="s">
        <v>15</v>
      </c>
      <c r="D867" s="6">
        <f t="shared" si="13"/>
        <v>112901.003</v>
      </c>
      <c r="E867" s="5">
        <v>41</v>
      </c>
      <c r="F867" t="s">
        <v>29</v>
      </c>
      <c r="G867" s="6">
        <v>2929.45</v>
      </c>
      <c r="H867" t="s">
        <v>30</v>
      </c>
      <c r="I867" s="7">
        <v>0.06</v>
      </c>
      <c r="J867" t="s">
        <v>18</v>
      </c>
      <c r="K867" t="s">
        <v>22</v>
      </c>
    </row>
    <row r="868" spans="1:11" x14ac:dyDescent="0.25">
      <c r="A868" s="1" t="s">
        <v>70</v>
      </c>
      <c r="B868" t="s">
        <v>14</v>
      </c>
      <c r="C868" t="s">
        <v>25</v>
      </c>
      <c r="D868" s="6">
        <f t="shared" si="13"/>
        <v>20067.192199999998</v>
      </c>
      <c r="E868" s="5">
        <v>22</v>
      </c>
      <c r="F868" t="s">
        <v>26</v>
      </c>
      <c r="G868" s="6">
        <v>1098.97</v>
      </c>
      <c r="H868" t="s">
        <v>17</v>
      </c>
      <c r="I868" s="7">
        <v>0.17</v>
      </c>
      <c r="J868" t="s">
        <v>18</v>
      </c>
      <c r="K868" t="s">
        <v>19</v>
      </c>
    </row>
    <row r="869" spans="1:11" x14ac:dyDescent="0.25">
      <c r="A869" s="1" t="s">
        <v>70</v>
      </c>
      <c r="B869" t="s">
        <v>33</v>
      </c>
      <c r="C869" t="s">
        <v>34</v>
      </c>
      <c r="D869" s="6">
        <f t="shared" si="13"/>
        <v>54272.3004</v>
      </c>
      <c r="E869" s="5">
        <v>18</v>
      </c>
      <c r="F869" t="s">
        <v>16</v>
      </c>
      <c r="G869" s="6">
        <v>3722.38</v>
      </c>
      <c r="H869" t="s">
        <v>17</v>
      </c>
      <c r="I869" s="7">
        <v>0.19</v>
      </c>
      <c r="J869" t="s">
        <v>27</v>
      </c>
      <c r="K869" t="s">
        <v>22</v>
      </c>
    </row>
    <row r="870" spans="1:11" x14ac:dyDescent="0.25">
      <c r="A870" s="1" t="s">
        <v>70</v>
      </c>
      <c r="B870" t="s">
        <v>42</v>
      </c>
      <c r="C870" t="s">
        <v>25</v>
      </c>
      <c r="D870" s="6">
        <f t="shared" si="13"/>
        <v>97526.304000000004</v>
      </c>
      <c r="E870" s="5">
        <v>36</v>
      </c>
      <c r="F870" t="s">
        <v>29</v>
      </c>
      <c r="G870" s="6">
        <v>3386.33</v>
      </c>
      <c r="H870" t="s">
        <v>30</v>
      </c>
      <c r="I870" s="7">
        <v>0.2</v>
      </c>
      <c r="J870" t="s">
        <v>27</v>
      </c>
      <c r="K870" t="s">
        <v>19</v>
      </c>
    </row>
    <row r="871" spans="1:11" x14ac:dyDescent="0.25">
      <c r="A871" s="1" t="s">
        <v>70</v>
      </c>
      <c r="B871" t="s">
        <v>38</v>
      </c>
      <c r="C871" t="s">
        <v>25</v>
      </c>
      <c r="D871" s="6">
        <f t="shared" si="13"/>
        <v>30313.542399999933</v>
      </c>
      <c r="E871" s="5">
        <v>8</v>
      </c>
      <c r="F871" t="s">
        <v>26</v>
      </c>
      <c r="G871" s="6">
        <v>4257.5199999999904</v>
      </c>
      <c r="H871" t="s">
        <v>30</v>
      </c>
      <c r="I871" s="7">
        <v>0.11</v>
      </c>
      <c r="J871" t="s">
        <v>18</v>
      </c>
      <c r="K871" t="s">
        <v>22</v>
      </c>
    </row>
    <row r="872" spans="1:11" x14ac:dyDescent="0.25">
      <c r="A872" s="1" t="s">
        <v>70</v>
      </c>
      <c r="B872" t="s">
        <v>14</v>
      </c>
      <c r="C872" t="s">
        <v>34</v>
      </c>
      <c r="D872" s="6">
        <f t="shared" si="13"/>
        <v>31638.079199999756</v>
      </c>
      <c r="E872" s="5">
        <v>26</v>
      </c>
      <c r="F872" t="s">
        <v>29</v>
      </c>
      <c r="G872" s="6">
        <v>1308.4399999999901</v>
      </c>
      <c r="H872" t="s">
        <v>17</v>
      </c>
      <c r="I872" s="7">
        <v>7.0000000000000007E-2</v>
      </c>
      <c r="J872" t="s">
        <v>31</v>
      </c>
      <c r="K872" t="s">
        <v>19</v>
      </c>
    </row>
    <row r="873" spans="1:11" x14ac:dyDescent="0.25">
      <c r="A873" s="1" t="s">
        <v>70</v>
      </c>
      <c r="B873" t="s">
        <v>38</v>
      </c>
      <c r="C873" t="s">
        <v>34</v>
      </c>
      <c r="D873" s="6">
        <f t="shared" si="13"/>
        <v>113599.76039999998</v>
      </c>
      <c r="E873" s="5">
        <v>28</v>
      </c>
      <c r="F873" t="s">
        <v>29</v>
      </c>
      <c r="G873" s="6">
        <v>4362.51</v>
      </c>
      <c r="H873" t="s">
        <v>17</v>
      </c>
      <c r="I873" s="7">
        <v>7.0000000000000007E-2</v>
      </c>
      <c r="J873" t="s">
        <v>31</v>
      </c>
      <c r="K873" t="s">
        <v>22</v>
      </c>
    </row>
    <row r="874" spans="1:11" x14ac:dyDescent="0.25">
      <c r="A874" s="1" t="s">
        <v>70</v>
      </c>
      <c r="B874" t="s">
        <v>42</v>
      </c>
      <c r="C874" t="s">
        <v>25</v>
      </c>
      <c r="D874" s="6">
        <f t="shared" si="13"/>
        <v>97243.924799999993</v>
      </c>
      <c r="E874" s="5">
        <v>22</v>
      </c>
      <c r="F874" t="s">
        <v>26</v>
      </c>
      <c r="G874" s="6">
        <v>4752.88</v>
      </c>
      <c r="H874" t="s">
        <v>17</v>
      </c>
      <c r="I874" s="7">
        <v>7.0000000000000007E-2</v>
      </c>
      <c r="J874" t="s">
        <v>27</v>
      </c>
      <c r="K874" t="s">
        <v>22</v>
      </c>
    </row>
    <row r="875" spans="1:11" x14ac:dyDescent="0.25">
      <c r="A875" s="1" t="s">
        <v>70</v>
      </c>
      <c r="B875" t="s">
        <v>42</v>
      </c>
      <c r="C875" t="s">
        <v>34</v>
      </c>
      <c r="D875" s="6">
        <f t="shared" si="13"/>
        <v>93695.596799999999</v>
      </c>
      <c r="E875" s="5">
        <v>32</v>
      </c>
      <c r="F875" t="s">
        <v>35</v>
      </c>
      <c r="G875" s="6">
        <v>3753.83</v>
      </c>
      <c r="H875" t="s">
        <v>30</v>
      </c>
      <c r="I875" s="7">
        <v>0.22</v>
      </c>
      <c r="J875" t="s">
        <v>18</v>
      </c>
      <c r="K875" t="s">
        <v>22</v>
      </c>
    </row>
    <row r="876" spans="1:11" x14ac:dyDescent="0.25">
      <c r="A876" s="1" t="s">
        <v>70</v>
      </c>
      <c r="B876" t="s">
        <v>33</v>
      </c>
      <c r="C876" t="s">
        <v>21</v>
      </c>
      <c r="D876" s="6">
        <f t="shared" si="13"/>
        <v>101323.26399999998</v>
      </c>
      <c r="E876" s="5">
        <v>32</v>
      </c>
      <c r="F876" t="s">
        <v>29</v>
      </c>
      <c r="G876" s="6">
        <v>4523.3599999999997</v>
      </c>
      <c r="H876" t="s">
        <v>30</v>
      </c>
      <c r="I876" s="7">
        <v>0.3</v>
      </c>
      <c r="J876" t="s">
        <v>27</v>
      </c>
      <c r="K876" t="s">
        <v>22</v>
      </c>
    </row>
    <row r="877" spans="1:11" x14ac:dyDescent="0.25">
      <c r="A877" s="1" t="s">
        <v>70</v>
      </c>
      <c r="B877" t="s">
        <v>33</v>
      </c>
      <c r="C877" t="s">
        <v>21</v>
      </c>
      <c r="D877" s="6">
        <f t="shared" si="13"/>
        <v>63813.506399999991</v>
      </c>
      <c r="E877" s="5">
        <v>42</v>
      </c>
      <c r="F877" t="s">
        <v>29</v>
      </c>
      <c r="G877" s="6">
        <v>1566.36</v>
      </c>
      <c r="H877" t="s">
        <v>17</v>
      </c>
      <c r="I877" s="7">
        <v>0.03</v>
      </c>
      <c r="J877" t="s">
        <v>31</v>
      </c>
      <c r="K877" t="s">
        <v>22</v>
      </c>
    </row>
    <row r="878" spans="1:11" x14ac:dyDescent="0.25">
      <c r="A878" s="1" t="s">
        <v>70</v>
      </c>
      <c r="B878" t="s">
        <v>42</v>
      </c>
      <c r="C878" t="s">
        <v>34</v>
      </c>
      <c r="D878" s="6">
        <f t="shared" si="13"/>
        <v>25594.534399999997</v>
      </c>
      <c r="E878" s="5">
        <v>32</v>
      </c>
      <c r="F878" t="s">
        <v>29</v>
      </c>
      <c r="G878" s="6">
        <v>1126.52</v>
      </c>
      <c r="H878" t="s">
        <v>30</v>
      </c>
      <c r="I878" s="7">
        <v>0.28999999999999998</v>
      </c>
      <c r="J878" t="s">
        <v>31</v>
      </c>
      <c r="K878" t="s">
        <v>22</v>
      </c>
    </row>
    <row r="879" spans="1:11" x14ac:dyDescent="0.25">
      <c r="A879" s="1" t="s">
        <v>70</v>
      </c>
      <c r="B879" t="s">
        <v>14</v>
      </c>
      <c r="C879" t="s">
        <v>25</v>
      </c>
      <c r="D879" s="6">
        <f t="shared" si="13"/>
        <v>40185.514599999871</v>
      </c>
      <c r="E879" s="5">
        <v>17</v>
      </c>
      <c r="F879" t="s">
        <v>26</v>
      </c>
      <c r="G879" s="6">
        <v>3069.9399999999901</v>
      </c>
      <c r="H879" t="s">
        <v>17</v>
      </c>
      <c r="I879" s="7">
        <v>0.23</v>
      </c>
      <c r="J879" t="s">
        <v>27</v>
      </c>
      <c r="K879" t="s">
        <v>22</v>
      </c>
    </row>
    <row r="880" spans="1:11" x14ac:dyDescent="0.25">
      <c r="A880" s="1" t="s">
        <v>70</v>
      </c>
      <c r="B880" t="s">
        <v>38</v>
      </c>
      <c r="C880" t="s">
        <v>34</v>
      </c>
      <c r="D880" s="6">
        <f t="shared" si="13"/>
        <v>28465.536</v>
      </c>
      <c r="E880" s="5">
        <v>24</v>
      </c>
      <c r="F880" t="s">
        <v>29</v>
      </c>
      <c r="G880" s="6">
        <v>1482.58</v>
      </c>
      <c r="H880" t="s">
        <v>17</v>
      </c>
      <c r="I880" s="7">
        <v>0.2</v>
      </c>
      <c r="J880" t="s">
        <v>31</v>
      </c>
      <c r="K880" t="s">
        <v>22</v>
      </c>
    </row>
    <row r="881" spans="1:13" x14ac:dyDescent="0.25">
      <c r="A881" s="1" t="s">
        <v>70</v>
      </c>
      <c r="B881" t="s">
        <v>14</v>
      </c>
      <c r="C881" t="s">
        <v>21</v>
      </c>
      <c r="D881" s="6">
        <f t="shared" si="13"/>
        <v>6370.9800000000005</v>
      </c>
      <c r="E881" s="5">
        <v>7</v>
      </c>
      <c r="F881" t="s">
        <v>26</v>
      </c>
      <c r="G881" s="6">
        <v>1182</v>
      </c>
      <c r="H881" t="s">
        <v>30</v>
      </c>
      <c r="I881" s="7">
        <v>0.23</v>
      </c>
      <c r="J881" t="s">
        <v>31</v>
      </c>
      <c r="K881" t="s">
        <v>22</v>
      </c>
    </row>
    <row r="882" spans="1:13" x14ac:dyDescent="0.25">
      <c r="A882" s="1" t="s">
        <v>63</v>
      </c>
      <c r="B882" t="s">
        <v>24</v>
      </c>
      <c r="C882" t="s">
        <v>15</v>
      </c>
      <c r="D882" s="6">
        <f t="shared" si="13"/>
        <v>113477.9904</v>
      </c>
      <c r="E882" s="5">
        <v>48</v>
      </c>
      <c r="F882" t="s">
        <v>26</v>
      </c>
      <c r="G882" s="6">
        <v>2462.63</v>
      </c>
      <c r="H882" t="s">
        <v>30</v>
      </c>
      <c r="I882" s="7">
        <v>0.04</v>
      </c>
      <c r="J882" t="s">
        <v>31</v>
      </c>
      <c r="K882" t="s">
        <v>19</v>
      </c>
    </row>
    <row r="883" spans="1:13" x14ac:dyDescent="0.25">
      <c r="A883" s="1" t="s">
        <v>70</v>
      </c>
      <c r="B883" t="s">
        <v>33</v>
      </c>
      <c r="C883" t="s">
        <v>21</v>
      </c>
      <c r="D883" s="6">
        <f t="shared" si="13"/>
        <v>29576.3573</v>
      </c>
      <c r="E883" s="5">
        <v>7</v>
      </c>
      <c r="F883" t="s">
        <v>26</v>
      </c>
      <c r="G883" s="6">
        <v>4355.87</v>
      </c>
      <c r="H883" t="s">
        <v>17</v>
      </c>
      <c r="I883" s="7">
        <v>0.03</v>
      </c>
      <c r="J883" t="s">
        <v>27</v>
      </c>
      <c r="K883" t="s">
        <v>19</v>
      </c>
    </row>
    <row r="884" spans="1:13" x14ac:dyDescent="0.25">
      <c r="A884" s="1" t="s">
        <v>70</v>
      </c>
      <c r="B884" t="s">
        <v>33</v>
      </c>
      <c r="C884" t="s">
        <v>25</v>
      </c>
      <c r="D884" s="6">
        <f t="shared" si="13"/>
        <v>5775.5375999999997</v>
      </c>
      <c r="E884" s="5">
        <v>24</v>
      </c>
      <c r="F884" t="s">
        <v>16</v>
      </c>
      <c r="G884" s="6">
        <v>338.94</v>
      </c>
      <c r="H884" t="s">
        <v>30</v>
      </c>
      <c r="I884" s="7">
        <v>0.28999999999999998</v>
      </c>
      <c r="J884" t="s">
        <v>18</v>
      </c>
      <c r="K884" t="s">
        <v>19</v>
      </c>
    </row>
    <row r="885" spans="1:13" x14ac:dyDescent="0.25">
      <c r="A885" s="1" t="s">
        <v>70</v>
      </c>
      <c r="B885" t="s">
        <v>38</v>
      </c>
      <c r="C885" t="s">
        <v>15</v>
      </c>
      <c r="D885" s="6">
        <f t="shared" si="13"/>
        <v>84470.139599999995</v>
      </c>
      <c r="E885" s="5">
        <v>42</v>
      </c>
      <c r="F885" t="s">
        <v>16</v>
      </c>
      <c r="G885" s="6">
        <v>2611.94</v>
      </c>
      <c r="H885" t="s">
        <v>17</v>
      </c>
      <c r="I885" s="7">
        <v>0.23</v>
      </c>
      <c r="J885" t="s">
        <v>18</v>
      </c>
      <c r="K885" t="s">
        <v>19</v>
      </c>
    </row>
    <row r="886" spans="1:13" x14ac:dyDescent="0.25">
      <c r="A886" s="1" t="s">
        <v>70</v>
      </c>
      <c r="B886" t="s">
        <v>24</v>
      </c>
      <c r="C886" t="s">
        <v>34</v>
      </c>
      <c r="D886" s="6">
        <f t="shared" si="13"/>
        <v>114236.73359999999</v>
      </c>
      <c r="E886" s="5">
        <v>47</v>
      </c>
      <c r="F886" t="s">
        <v>35</v>
      </c>
      <c r="G886" s="6">
        <v>3375.79</v>
      </c>
      <c r="H886" t="s">
        <v>30</v>
      </c>
      <c r="I886" s="7">
        <v>0.28000000000000003</v>
      </c>
      <c r="J886" t="s">
        <v>31</v>
      </c>
      <c r="K886" t="s">
        <v>19</v>
      </c>
    </row>
    <row r="887" spans="1:13" x14ac:dyDescent="0.25">
      <c r="A887" s="1" t="s">
        <v>67</v>
      </c>
      <c r="B887" t="s">
        <v>24</v>
      </c>
      <c r="C887" t="s">
        <v>21</v>
      </c>
      <c r="D887" s="6">
        <f t="shared" si="13"/>
        <v>116515.74749999976</v>
      </c>
      <c r="E887" s="5">
        <v>25</v>
      </c>
      <c r="F887" t="s">
        <v>26</v>
      </c>
      <c r="G887" s="6">
        <v>5011.4299999999903</v>
      </c>
      <c r="H887" t="s">
        <v>30</v>
      </c>
      <c r="I887" s="7">
        <v>7.0000000000000007E-2</v>
      </c>
      <c r="J887" t="s">
        <v>27</v>
      </c>
      <c r="K887" t="s">
        <v>19</v>
      </c>
      <c r="M887" s="10"/>
    </row>
    <row r="888" spans="1:13" x14ac:dyDescent="0.25">
      <c r="A888" s="1" t="s">
        <v>70</v>
      </c>
      <c r="B888" t="s">
        <v>42</v>
      </c>
      <c r="C888" t="s">
        <v>21</v>
      </c>
      <c r="D888" s="6">
        <f t="shared" si="13"/>
        <v>45624.045600000005</v>
      </c>
      <c r="E888" s="5">
        <v>12</v>
      </c>
      <c r="F888" t="s">
        <v>26</v>
      </c>
      <c r="G888" s="6">
        <v>4636.59</v>
      </c>
      <c r="H888" t="s">
        <v>30</v>
      </c>
      <c r="I888" s="7">
        <v>0.18</v>
      </c>
      <c r="J888" t="s">
        <v>31</v>
      </c>
      <c r="K888" t="s">
        <v>22</v>
      </c>
    </row>
    <row r="889" spans="1:13" x14ac:dyDescent="0.25">
      <c r="A889" s="1" t="s">
        <v>70</v>
      </c>
      <c r="B889" t="s">
        <v>14</v>
      </c>
      <c r="C889" t="s">
        <v>25</v>
      </c>
      <c r="D889" s="6">
        <f t="shared" si="13"/>
        <v>3659.6610000000001</v>
      </c>
      <c r="E889" s="5">
        <v>9</v>
      </c>
      <c r="F889" t="s">
        <v>35</v>
      </c>
      <c r="G889" s="6">
        <v>451.81</v>
      </c>
      <c r="H889" t="s">
        <v>17</v>
      </c>
      <c r="I889" s="7">
        <v>0.1</v>
      </c>
      <c r="J889" t="s">
        <v>18</v>
      </c>
      <c r="K889" t="s">
        <v>22</v>
      </c>
    </row>
    <row r="890" spans="1:13" x14ac:dyDescent="0.25">
      <c r="A890" s="1" t="s">
        <v>70</v>
      </c>
      <c r="B890" t="s">
        <v>14</v>
      </c>
      <c r="C890" t="s">
        <v>34</v>
      </c>
      <c r="D890" s="6">
        <f t="shared" si="13"/>
        <v>216.4059</v>
      </c>
      <c r="E890" s="5">
        <v>1</v>
      </c>
      <c r="F890" t="s">
        <v>29</v>
      </c>
      <c r="G890" s="6">
        <v>260.73</v>
      </c>
      <c r="H890" t="s">
        <v>17</v>
      </c>
      <c r="I890" s="7">
        <v>0.17</v>
      </c>
      <c r="J890" t="s">
        <v>18</v>
      </c>
      <c r="K890" t="s">
        <v>19</v>
      </c>
    </row>
    <row r="891" spans="1:13" x14ac:dyDescent="0.25">
      <c r="A891" s="1" t="s">
        <v>70</v>
      </c>
      <c r="B891" t="s">
        <v>14</v>
      </c>
      <c r="C891" t="s">
        <v>15</v>
      </c>
      <c r="D891" s="6">
        <f t="shared" si="13"/>
        <v>1807.6968000000002</v>
      </c>
      <c r="E891" s="5">
        <v>2</v>
      </c>
      <c r="F891" t="s">
        <v>35</v>
      </c>
      <c r="G891" s="6">
        <v>993.24</v>
      </c>
      <c r="H891" t="s">
        <v>17</v>
      </c>
      <c r="I891" s="7">
        <v>0.09</v>
      </c>
      <c r="J891" t="s">
        <v>31</v>
      </c>
      <c r="K891" t="s">
        <v>19</v>
      </c>
    </row>
    <row r="892" spans="1:13" x14ac:dyDescent="0.25">
      <c r="A892" s="1" t="s">
        <v>70</v>
      </c>
      <c r="B892" t="s">
        <v>14</v>
      </c>
      <c r="C892" t="s">
        <v>34</v>
      </c>
      <c r="D892" s="6">
        <f t="shared" si="13"/>
        <v>40219.007400000002</v>
      </c>
      <c r="E892" s="5">
        <v>33</v>
      </c>
      <c r="F892" t="s">
        <v>16</v>
      </c>
      <c r="G892" s="6">
        <v>1486.29</v>
      </c>
      <c r="H892" t="s">
        <v>17</v>
      </c>
      <c r="I892" s="7">
        <v>0.18</v>
      </c>
      <c r="J892" t="s">
        <v>31</v>
      </c>
      <c r="K892" t="s">
        <v>22</v>
      </c>
    </row>
    <row r="893" spans="1:13" x14ac:dyDescent="0.25">
      <c r="A893" s="1" t="s">
        <v>70</v>
      </c>
      <c r="B893" t="s">
        <v>42</v>
      </c>
      <c r="C893" t="s">
        <v>21</v>
      </c>
      <c r="D893" s="6">
        <f t="shared" si="13"/>
        <v>14833.706999999999</v>
      </c>
      <c r="E893" s="5">
        <v>15</v>
      </c>
      <c r="F893" t="s">
        <v>29</v>
      </c>
      <c r="G893" s="6">
        <v>1336.37</v>
      </c>
      <c r="H893" t="s">
        <v>17</v>
      </c>
      <c r="I893" s="7">
        <v>0.26</v>
      </c>
      <c r="J893" t="s">
        <v>18</v>
      </c>
      <c r="K893" t="s">
        <v>22</v>
      </c>
    </row>
    <row r="894" spans="1:13" x14ac:dyDescent="0.25">
      <c r="A894" s="1" t="s">
        <v>67</v>
      </c>
      <c r="B894" t="s">
        <v>24</v>
      </c>
      <c r="C894" t="s">
        <v>21</v>
      </c>
      <c r="D894" s="6">
        <f t="shared" si="13"/>
        <v>118496.56000000001</v>
      </c>
      <c r="E894" s="5">
        <v>26</v>
      </c>
      <c r="F894" t="s">
        <v>35</v>
      </c>
      <c r="G894" s="6">
        <v>4557.5600000000004</v>
      </c>
      <c r="H894" t="s">
        <v>30</v>
      </c>
      <c r="I894" s="7">
        <v>0</v>
      </c>
      <c r="J894" t="s">
        <v>31</v>
      </c>
      <c r="K894" t="s">
        <v>19</v>
      </c>
      <c r="M894" s="10"/>
    </row>
    <row r="895" spans="1:13" x14ac:dyDescent="0.25">
      <c r="A895" s="1" t="s">
        <v>70</v>
      </c>
      <c r="B895" t="s">
        <v>14</v>
      </c>
      <c r="C895" t="s">
        <v>25</v>
      </c>
      <c r="D895" s="6">
        <f t="shared" si="13"/>
        <v>51651.977999999996</v>
      </c>
      <c r="E895" s="5">
        <v>15</v>
      </c>
      <c r="F895" t="s">
        <v>16</v>
      </c>
      <c r="G895" s="6">
        <v>3513.74</v>
      </c>
      <c r="H895" t="s">
        <v>30</v>
      </c>
      <c r="I895" s="7">
        <v>0.02</v>
      </c>
      <c r="J895" t="s">
        <v>18</v>
      </c>
      <c r="K895" t="s">
        <v>19</v>
      </c>
    </row>
    <row r="896" spans="1:13" x14ac:dyDescent="0.25">
      <c r="A896" s="1" t="s">
        <v>70</v>
      </c>
      <c r="B896" t="s">
        <v>33</v>
      </c>
      <c r="C896" t="s">
        <v>15</v>
      </c>
      <c r="D896" s="6">
        <f t="shared" si="13"/>
        <v>17487.0311</v>
      </c>
      <c r="E896" s="5">
        <v>23</v>
      </c>
      <c r="F896" t="s">
        <v>16</v>
      </c>
      <c r="G896" s="6">
        <v>987.41</v>
      </c>
      <c r="H896" t="s">
        <v>17</v>
      </c>
      <c r="I896" s="7">
        <v>0.23</v>
      </c>
      <c r="J896" t="s">
        <v>31</v>
      </c>
      <c r="K896" t="s">
        <v>19</v>
      </c>
    </row>
    <row r="897" spans="1:11" x14ac:dyDescent="0.25">
      <c r="A897" s="1" t="s">
        <v>70</v>
      </c>
      <c r="B897" t="s">
        <v>24</v>
      </c>
      <c r="C897" t="s">
        <v>15</v>
      </c>
      <c r="D897" s="6">
        <f t="shared" si="13"/>
        <v>121769.01</v>
      </c>
      <c r="E897" s="5">
        <v>47</v>
      </c>
      <c r="F897" t="s">
        <v>35</v>
      </c>
      <c r="G897" s="6">
        <v>2617</v>
      </c>
      <c r="H897" t="s">
        <v>30</v>
      </c>
      <c r="I897" s="7">
        <v>0.01</v>
      </c>
      <c r="J897" t="s">
        <v>27</v>
      </c>
      <c r="K897" t="s">
        <v>19</v>
      </c>
    </row>
    <row r="898" spans="1:11" x14ac:dyDescent="0.25">
      <c r="A898" s="1" t="s">
        <v>63</v>
      </c>
      <c r="B898" t="s">
        <v>24</v>
      </c>
      <c r="C898" t="s">
        <v>21</v>
      </c>
      <c r="D898" s="6">
        <f t="shared" ref="D898:D961" si="14">(Unit_Price*Qty_Sold)*(1-Discount)</f>
        <v>122794.1176</v>
      </c>
      <c r="E898" s="5">
        <v>44</v>
      </c>
      <c r="F898" t="s">
        <v>16</v>
      </c>
      <c r="G898" s="6">
        <v>3822.98</v>
      </c>
      <c r="H898" t="s">
        <v>17</v>
      </c>
      <c r="I898" s="7">
        <v>0.27</v>
      </c>
      <c r="J898" t="s">
        <v>27</v>
      </c>
      <c r="K898" t="s">
        <v>19</v>
      </c>
    </row>
    <row r="899" spans="1:11" x14ac:dyDescent="0.25">
      <c r="A899" s="1" t="s">
        <v>70</v>
      </c>
      <c r="B899" t="s">
        <v>38</v>
      </c>
      <c r="C899" t="s">
        <v>34</v>
      </c>
      <c r="D899" s="6">
        <f t="shared" si="14"/>
        <v>99303.019199999995</v>
      </c>
      <c r="E899" s="5">
        <v>28</v>
      </c>
      <c r="F899" t="s">
        <v>29</v>
      </c>
      <c r="G899" s="6">
        <v>3813.48</v>
      </c>
      <c r="H899" t="s">
        <v>30</v>
      </c>
      <c r="I899" s="7">
        <v>7.0000000000000007E-2</v>
      </c>
      <c r="J899" t="s">
        <v>31</v>
      </c>
      <c r="K899" t="s">
        <v>22</v>
      </c>
    </row>
    <row r="900" spans="1:11" x14ac:dyDescent="0.25">
      <c r="A900" s="1" t="s">
        <v>70</v>
      </c>
      <c r="B900" t="s">
        <v>42</v>
      </c>
      <c r="C900" t="s">
        <v>15</v>
      </c>
      <c r="D900" s="6">
        <f t="shared" si="14"/>
        <v>40713.265999999996</v>
      </c>
      <c r="E900" s="5">
        <v>23</v>
      </c>
      <c r="F900" t="s">
        <v>35</v>
      </c>
      <c r="G900" s="6">
        <v>2082.52</v>
      </c>
      <c r="H900" t="s">
        <v>30</v>
      </c>
      <c r="I900" s="7">
        <v>0.15</v>
      </c>
      <c r="J900" t="s">
        <v>27</v>
      </c>
      <c r="K900" t="s">
        <v>22</v>
      </c>
    </row>
    <row r="901" spans="1:11" x14ac:dyDescent="0.25">
      <c r="A901" s="1" t="s">
        <v>70</v>
      </c>
      <c r="B901" t="s">
        <v>14</v>
      </c>
      <c r="C901" t="s">
        <v>21</v>
      </c>
      <c r="D901" s="6">
        <f t="shared" si="14"/>
        <v>5053.6106999999993</v>
      </c>
      <c r="E901" s="5">
        <v>31</v>
      </c>
      <c r="F901" t="s">
        <v>16</v>
      </c>
      <c r="G901" s="6">
        <v>175.29</v>
      </c>
      <c r="H901" t="s">
        <v>30</v>
      </c>
      <c r="I901" s="7">
        <v>7.0000000000000007E-2</v>
      </c>
      <c r="J901" t="s">
        <v>27</v>
      </c>
      <c r="K901" t="s">
        <v>19</v>
      </c>
    </row>
    <row r="902" spans="1:11" x14ac:dyDescent="0.25">
      <c r="A902" s="1" t="s">
        <v>69</v>
      </c>
      <c r="B902" t="s">
        <v>24</v>
      </c>
      <c r="C902" t="s">
        <v>15</v>
      </c>
      <c r="D902" s="6">
        <f t="shared" si="14"/>
        <v>126028.09799999998</v>
      </c>
      <c r="E902" s="5">
        <v>43</v>
      </c>
      <c r="F902" t="s">
        <v>16</v>
      </c>
      <c r="G902" s="6">
        <v>4186.9799999999996</v>
      </c>
      <c r="H902" t="s">
        <v>17</v>
      </c>
      <c r="I902" s="7">
        <v>0.3</v>
      </c>
      <c r="J902" t="s">
        <v>31</v>
      </c>
      <c r="K902" t="s">
        <v>19</v>
      </c>
    </row>
    <row r="903" spans="1:11" x14ac:dyDescent="0.25">
      <c r="A903" s="1" t="s">
        <v>70</v>
      </c>
      <c r="B903" t="s">
        <v>33</v>
      </c>
      <c r="C903" t="s">
        <v>15</v>
      </c>
      <c r="D903" s="6">
        <f t="shared" si="14"/>
        <v>27518.828400000002</v>
      </c>
      <c r="E903" s="5">
        <v>46</v>
      </c>
      <c r="F903" t="s">
        <v>29</v>
      </c>
      <c r="G903" s="6">
        <v>757.26</v>
      </c>
      <c r="H903" t="s">
        <v>30</v>
      </c>
      <c r="I903" s="7">
        <v>0.21</v>
      </c>
      <c r="J903" t="s">
        <v>31</v>
      </c>
      <c r="K903" t="s">
        <v>22</v>
      </c>
    </row>
    <row r="904" spans="1:11" x14ac:dyDescent="0.25">
      <c r="A904" s="1" t="s">
        <v>70</v>
      </c>
      <c r="B904" t="s">
        <v>42</v>
      </c>
      <c r="C904" t="s">
        <v>15</v>
      </c>
      <c r="D904" s="6">
        <f t="shared" si="14"/>
        <v>42615.081600000005</v>
      </c>
      <c r="E904" s="5">
        <v>28</v>
      </c>
      <c r="F904" t="s">
        <v>26</v>
      </c>
      <c r="G904" s="6">
        <v>1951.24</v>
      </c>
      <c r="H904" t="s">
        <v>30</v>
      </c>
      <c r="I904" s="7">
        <v>0.22</v>
      </c>
      <c r="J904" t="s">
        <v>18</v>
      </c>
      <c r="K904" t="s">
        <v>19</v>
      </c>
    </row>
    <row r="905" spans="1:11" x14ac:dyDescent="0.25">
      <c r="A905" s="1" t="s">
        <v>70</v>
      </c>
      <c r="B905" t="s">
        <v>38</v>
      </c>
      <c r="C905" t="s">
        <v>21</v>
      </c>
      <c r="D905" s="6">
        <f t="shared" si="14"/>
        <v>22956.272400000002</v>
      </c>
      <c r="E905" s="5">
        <v>29</v>
      </c>
      <c r="F905" t="s">
        <v>16</v>
      </c>
      <c r="G905" s="6">
        <v>909.88</v>
      </c>
      <c r="H905" t="s">
        <v>17</v>
      </c>
      <c r="I905" s="7">
        <v>0.13</v>
      </c>
      <c r="J905" t="s">
        <v>31</v>
      </c>
      <c r="K905" t="s">
        <v>22</v>
      </c>
    </row>
    <row r="906" spans="1:11" x14ac:dyDescent="0.25">
      <c r="A906" s="1" t="s">
        <v>69</v>
      </c>
      <c r="B906" t="s">
        <v>24</v>
      </c>
      <c r="C906" t="s">
        <v>15</v>
      </c>
      <c r="D906" s="6">
        <f t="shared" si="14"/>
        <v>129175.56</v>
      </c>
      <c r="E906" s="5">
        <v>30</v>
      </c>
      <c r="F906" t="s">
        <v>29</v>
      </c>
      <c r="G906" s="6">
        <v>4784.28</v>
      </c>
      <c r="H906" t="s">
        <v>17</v>
      </c>
      <c r="I906" s="7">
        <v>0.1</v>
      </c>
      <c r="J906" t="s">
        <v>31</v>
      </c>
      <c r="K906" t="s">
        <v>22</v>
      </c>
    </row>
    <row r="907" spans="1:11" x14ac:dyDescent="0.25">
      <c r="A907" s="1" t="s">
        <v>68</v>
      </c>
      <c r="B907" t="s">
        <v>24</v>
      </c>
      <c r="C907" t="s">
        <v>15</v>
      </c>
      <c r="D907" s="6">
        <f t="shared" si="14"/>
        <v>132087.348</v>
      </c>
      <c r="E907" s="5">
        <v>36</v>
      </c>
      <c r="F907" t="s">
        <v>35</v>
      </c>
      <c r="G907" s="6">
        <v>4076.77</v>
      </c>
      <c r="H907" t="s">
        <v>17</v>
      </c>
      <c r="I907" s="7">
        <v>0.1</v>
      </c>
      <c r="J907" t="s">
        <v>31</v>
      </c>
      <c r="K907" t="s">
        <v>22</v>
      </c>
    </row>
    <row r="908" spans="1:11" x14ac:dyDescent="0.25">
      <c r="A908" s="1" t="s">
        <v>70</v>
      </c>
      <c r="B908" t="s">
        <v>42</v>
      </c>
      <c r="C908" t="s">
        <v>15</v>
      </c>
      <c r="D908" s="6">
        <f t="shared" si="14"/>
        <v>36213.759999999842</v>
      </c>
      <c r="E908" s="5">
        <v>16</v>
      </c>
      <c r="F908" t="s">
        <v>29</v>
      </c>
      <c r="G908" s="6">
        <v>2263.3599999999901</v>
      </c>
      <c r="H908" t="s">
        <v>17</v>
      </c>
      <c r="I908" s="7">
        <v>0</v>
      </c>
      <c r="J908" t="s">
        <v>27</v>
      </c>
      <c r="K908" t="s">
        <v>22</v>
      </c>
    </row>
    <row r="909" spans="1:11" x14ac:dyDescent="0.25">
      <c r="A909" s="1" t="s">
        <v>70</v>
      </c>
      <c r="B909" t="s">
        <v>42</v>
      </c>
      <c r="C909" t="s">
        <v>25</v>
      </c>
      <c r="D909" s="6">
        <f t="shared" si="14"/>
        <v>22177.679999999917</v>
      </c>
      <c r="E909" s="5">
        <v>10</v>
      </c>
      <c r="F909" t="s">
        <v>16</v>
      </c>
      <c r="G909" s="6">
        <v>2578.7999999999902</v>
      </c>
      <c r="H909" t="s">
        <v>30</v>
      </c>
      <c r="I909" s="7">
        <v>0.14000000000000001</v>
      </c>
      <c r="J909" t="s">
        <v>18</v>
      </c>
      <c r="K909" t="s">
        <v>19</v>
      </c>
    </row>
    <row r="910" spans="1:11" x14ac:dyDescent="0.25">
      <c r="A910" s="1" t="s">
        <v>70</v>
      </c>
      <c r="B910" t="s">
        <v>42</v>
      </c>
      <c r="C910" t="s">
        <v>15</v>
      </c>
      <c r="D910" s="6">
        <f t="shared" si="14"/>
        <v>51685.091999999997</v>
      </c>
      <c r="E910" s="5">
        <v>38</v>
      </c>
      <c r="F910" t="s">
        <v>29</v>
      </c>
      <c r="G910" s="6">
        <v>1511.26</v>
      </c>
      <c r="H910" t="s">
        <v>30</v>
      </c>
      <c r="I910" s="7">
        <v>0.1</v>
      </c>
      <c r="J910" t="s">
        <v>27</v>
      </c>
      <c r="K910" t="s">
        <v>19</v>
      </c>
    </row>
    <row r="911" spans="1:11" x14ac:dyDescent="0.25">
      <c r="A911" s="1" t="s">
        <v>72</v>
      </c>
      <c r="B911" t="s">
        <v>24</v>
      </c>
      <c r="C911" t="s">
        <v>34</v>
      </c>
      <c r="D911" s="6">
        <f t="shared" si="14"/>
        <v>133233.66</v>
      </c>
      <c r="E911" s="5">
        <v>35</v>
      </c>
      <c r="F911" t="s">
        <v>35</v>
      </c>
      <c r="G911" s="6">
        <v>5287.05</v>
      </c>
      <c r="H911" t="s">
        <v>17</v>
      </c>
      <c r="I911" s="7">
        <v>0.28000000000000003</v>
      </c>
      <c r="J911" t="s">
        <v>31</v>
      </c>
      <c r="K911" t="s">
        <v>19</v>
      </c>
    </row>
    <row r="912" spans="1:11" x14ac:dyDescent="0.25">
      <c r="A912" s="1" t="s">
        <v>68</v>
      </c>
      <c r="B912" t="s">
        <v>24</v>
      </c>
      <c r="C912" t="s">
        <v>15</v>
      </c>
      <c r="D912" s="6">
        <f t="shared" si="14"/>
        <v>133316.37900000002</v>
      </c>
      <c r="E912" s="5">
        <v>35</v>
      </c>
      <c r="F912" t="s">
        <v>35</v>
      </c>
      <c r="G912" s="6">
        <v>4645.17</v>
      </c>
      <c r="H912" t="s">
        <v>17</v>
      </c>
      <c r="I912" s="7">
        <v>0.18</v>
      </c>
      <c r="J912" t="s">
        <v>31</v>
      </c>
      <c r="K912" t="s">
        <v>22</v>
      </c>
    </row>
    <row r="913" spans="1:11" x14ac:dyDescent="0.25">
      <c r="A913" s="1" t="s">
        <v>70</v>
      </c>
      <c r="B913" t="s">
        <v>14</v>
      </c>
      <c r="C913" t="s">
        <v>34</v>
      </c>
      <c r="D913" s="6">
        <f t="shared" si="14"/>
        <v>22736.563200000001</v>
      </c>
      <c r="E913" s="5">
        <v>24</v>
      </c>
      <c r="F913" t="s">
        <v>26</v>
      </c>
      <c r="G913" s="6">
        <v>1214.56</v>
      </c>
      <c r="H913" t="s">
        <v>30</v>
      </c>
      <c r="I913" s="7">
        <v>0.22</v>
      </c>
      <c r="J913" t="s">
        <v>27</v>
      </c>
      <c r="K913" t="s">
        <v>19</v>
      </c>
    </row>
    <row r="914" spans="1:11" x14ac:dyDescent="0.25">
      <c r="A914" s="1" t="s">
        <v>71</v>
      </c>
      <c r="B914" t="s">
        <v>42</v>
      </c>
      <c r="C914" t="s">
        <v>25</v>
      </c>
      <c r="D914" s="6">
        <f t="shared" si="14"/>
        <v>102495.59999999999</v>
      </c>
      <c r="E914" s="5">
        <v>30</v>
      </c>
      <c r="F914" t="s">
        <v>16</v>
      </c>
      <c r="G914" s="6">
        <v>4270.6499999999996</v>
      </c>
      <c r="H914" t="s">
        <v>30</v>
      </c>
      <c r="I914" s="7">
        <v>0.2</v>
      </c>
      <c r="J914" t="s">
        <v>18</v>
      </c>
      <c r="K914" t="s">
        <v>19</v>
      </c>
    </row>
    <row r="915" spans="1:11" x14ac:dyDescent="0.25">
      <c r="A915" s="1" t="s">
        <v>71</v>
      </c>
      <c r="B915" t="s">
        <v>38</v>
      </c>
      <c r="C915" t="s">
        <v>34</v>
      </c>
      <c r="D915" s="6">
        <f t="shared" si="14"/>
        <v>176896.3064</v>
      </c>
      <c r="E915" s="5">
        <v>44</v>
      </c>
      <c r="F915" t="s">
        <v>29</v>
      </c>
      <c r="G915" s="6">
        <v>4276.99</v>
      </c>
      <c r="H915" t="s">
        <v>30</v>
      </c>
      <c r="I915" s="7">
        <v>0.06</v>
      </c>
      <c r="J915" t="s">
        <v>27</v>
      </c>
      <c r="K915" t="s">
        <v>22</v>
      </c>
    </row>
    <row r="916" spans="1:11" x14ac:dyDescent="0.25">
      <c r="A916" s="1" t="s">
        <v>71</v>
      </c>
      <c r="B916" t="s">
        <v>38</v>
      </c>
      <c r="C916" t="s">
        <v>34</v>
      </c>
      <c r="D916" s="6">
        <f t="shared" si="14"/>
        <v>90591.6</v>
      </c>
      <c r="E916" s="5">
        <v>30</v>
      </c>
      <c r="F916" t="s">
        <v>29</v>
      </c>
      <c r="G916" s="6">
        <v>3774.65</v>
      </c>
      <c r="H916" t="s">
        <v>30</v>
      </c>
      <c r="I916" s="7">
        <v>0.2</v>
      </c>
      <c r="J916" t="s">
        <v>31</v>
      </c>
      <c r="K916" t="s">
        <v>22</v>
      </c>
    </row>
    <row r="917" spans="1:11" x14ac:dyDescent="0.25">
      <c r="A917" s="1" t="s">
        <v>71</v>
      </c>
      <c r="B917" t="s">
        <v>33</v>
      </c>
      <c r="C917" t="s">
        <v>21</v>
      </c>
      <c r="D917" s="6">
        <f t="shared" si="14"/>
        <v>26715.403200000001</v>
      </c>
      <c r="E917" s="5">
        <v>8</v>
      </c>
      <c r="F917" t="s">
        <v>16</v>
      </c>
      <c r="G917" s="6">
        <v>3838.42</v>
      </c>
      <c r="H917" t="s">
        <v>17</v>
      </c>
      <c r="I917" s="7">
        <v>0.13</v>
      </c>
      <c r="J917" t="s">
        <v>27</v>
      </c>
      <c r="K917" t="s">
        <v>19</v>
      </c>
    </row>
    <row r="918" spans="1:11" x14ac:dyDescent="0.25">
      <c r="A918" s="1" t="s">
        <v>73</v>
      </c>
      <c r="B918" t="s">
        <v>24</v>
      </c>
      <c r="C918" t="s">
        <v>15</v>
      </c>
      <c r="D918" s="6">
        <f t="shared" si="14"/>
        <v>135754.95600000001</v>
      </c>
      <c r="E918" s="5">
        <v>36</v>
      </c>
      <c r="F918" t="s">
        <v>26</v>
      </c>
      <c r="G918" s="6">
        <v>4384.8500000000004</v>
      </c>
      <c r="H918" t="s">
        <v>30</v>
      </c>
      <c r="I918" s="7">
        <v>0.14000000000000001</v>
      </c>
      <c r="J918" t="s">
        <v>18</v>
      </c>
      <c r="K918" t="s">
        <v>19</v>
      </c>
    </row>
    <row r="919" spans="1:11" x14ac:dyDescent="0.25">
      <c r="A919" s="1" t="s">
        <v>71</v>
      </c>
      <c r="B919" t="s">
        <v>38</v>
      </c>
      <c r="C919" t="s">
        <v>15</v>
      </c>
      <c r="D919" s="6">
        <f t="shared" si="14"/>
        <v>46742.655299999999</v>
      </c>
      <c r="E919" s="5">
        <v>11</v>
      </c>
      <c r="F919" t="s">
        <v>29</v>
      </c>
      <c r="G919" s="6">
        <v>4884.29</v>
      </c>
      <c r="H919" t="s">
        <v>30</v>
      </c>
      <c r="I919" s="7">
        <v>0.13</v>
      </c>
      <c r="J919" t="s">
        <v>18</v>
      </c>
      <c r="K919" t="s">
        <v>19</v>
      </c>
    </row>
    <row r="920" spans="1:11" x14ac:dyDescent="0.25">
      <c r="A920" s="1" t="s">
        <v>69</v>
      </c>
      <c r="B920" t="s">
        <v>24</v>
      </c>
      <c r="C920" t="s">
        <v>34</v>
      </c>
      <c r="D920" s="6">
        <f t="shared" si="14"/>
        <v>135855.72</v>
      </c>
      <c r="E920" s="5">
        <v>39</v>
      </c>
      <c r="F920" t="s">
        <v>35</v>
      </c>
      <c r="G920" s="6">
        <v>4004</v>
      </c>
      <c r="H920" t="s">
        <v>30</v>
      </c>
      <c r="I920" s="7">
        <v>0.13</v>
      </c>
      <c r="J920" t="s">
        <v>18</v>
      </c>
      <c r="K920" t="s">
        <v>19</v>
      </c>
    </row>
    <row r="921" spans="1:11" x14ac:dyDescent="0.25">
      <c r="A921" s="1" t="s">
        <v>66</v>
      </c>
      <c r="B921" t="s">
        <v>24</v>
      </c>
      <c r="C921" t="s">
        <v>21</v>
      </c>
      <c r="D921" s="6">
        <f t="shared" si="14"/>
        <v>138221.39759999971</v>
      </c>
      <c r="E921" s="5">
        <v>39</v>
      </c>
      <c r="F921" t="s">
        <v>26</v>
      </c>
      <c r="G921" s="6">
        <v>4663.3399999999901</v>
      </c>
      <c r="H921" t="s">
        <v>30</v>
      </c>
      <c r="I921" s="7">
        <v>0.24</v>
      </c>
      <c r="J921" t="s">
        <v>18</v>
      </c>
      <c r="K921" t="s">
        <v>22</v>
      </c>
    </row>
    <row r="922" spans="1:11" x14ac:dyDescent="0.25">
      <c r="A922" s="1" t="s">
        <v>71</v>
      </c>
      <c r="B922" t="s">
        <v>33</v>
      </c>
      <c r="C922" t="s">
        <v>34</v>
      </c>
      <c r="D922" s="6">
        <f t="shared" si="14"/>
        <v>9504.4806000000008</v>
      </c>
      <c r="E922" s="5">
        <v>27</v>
      </c>
      <c r="F922" t="s">
        <v>35</v>
      </c>
      <c r="G922" s="6">
        <v>429.29</v>
      </c>
      <c r="H922" t="s">
        <v>17</v>
      </c>
      <c r="I922" s="7">
        <v>0.18</v>
      </c>
      <c r="J922" t="s">
        <v>31</v>
      </c>
      <c r="K922" t="s">
        <v>22</v>
      </c>
    </row>
    <row r="923" spans="1:11" x14ac:dyDescent="0.25">
      <c r="A923" s="1" t="s">
        <v>71</v>
      </c>
      <c r="B923" t="s">
        <v>42</v>
      </c>
      <c r="C923" t="s">
        <v>34</v>
      </c>
      <c r="D923" s="6">
        <f t="shared" si="14"/>
        <v>85483.103999999992</v>
      </c>
      <c r="E923" s="5">
        <v>20</v>
      </c>
      <c r="F923" t="s">
        <v>29</v>
      </c>
      <c r="G923" s="6">
        <v>5088.28</v>
      </c>
      <c r="H923" t="s">
        <v>30</v>
      </c>
      <c r="I923" s="7">
        <v>0.16</v>
      </c>
      <c r="J923" t="s">
        <v>27</v>
      </c>
      <c r="K923" t="s">
        <v>22</v>
      </c>
    </row>
    <row r="924" spans="1:11" x14ac:dyDescent="0.25">
      <c r="A924" s="1" t="s">
        <v>71</v>
      </c>
      <c r="B924" t="s">
        <v>38</v>
      </c>
      <c r="C924" t="s">
        <v>15</v>
      </c>
      <c r="D924" s="6">
        <f t="shared" si="14"/>
        <v>53100.442500000005</v>
      </c>
      <c r="E924" s="5">
        <v>21</v>
      </c>
      <c r="F924" t="s">
        <v>26</v>
      </c>
      <c r="G924" s="6">
        <v>3200.75</v>
      </c>
      <c r="H924" t="s">
        <v>30</v>
      </c>
      <c r="I924" s="7">
        <v>0.21</v>
      </c>
      <c r="J924" t="s">
        <v>18</v>
      </c>
      <c r="K924" t="s">
        <v>22</v>
      </c>
    </row>
    <row r="925" spans="1:11" x14ac:dyDescent="0.25">
      <c r="A925" s="1" t="s">
        <v>71</v>
      </c>
      <c r="B925" t="s">
        <v>42</v>
      </c>
      <c r="C925" t="s">
        <v>25</v>
      </c>
      <c r="D925" s="6">
        <f t="shared" si="14"/>
        <v>101421.68519999975</v>
      </c>
      <c r="E925" s="5">
        <v>33</v>
      </c>
      <c r="F925" t="s">
        <v>29</v>
      </c>
      <c r="G925" s="6">
        <v>3890.3599999999901</v>
      </c>
      <c r="H925" t="s">
        <v>17</v>
      </c>
      <c r="I925" s="7">
        <v>0.21</v>
      </c>
      <c r="J925" t="s">
        <v>18</v>
      </c>
      <c r="K925" t="s">
        <v>22</v>
      </c>
    </row>
    <row r="926" spans="1:11" x14ac:dyDescent="0.25">
      <c r="A926" s="1" t="s">
        <v>71</v>
      </c>
      <c r="B926" t="s">
        <v>33</v>
      </c>
      <c r="C926" t="s">
        <v>15</v>
      </c>
      <c r="D926" s="6">
        <f t="shared" si="14"/>
        <v>41982.82</v>
      </c>
      <c r="E926" s="5">
        <v>23</v>
      </c>
      <c r="F926" t="s">
        <v>16</v>
      </c>
      <c r="G926" s="6">
        <v>2074.25</v>
      </c>
      <c r="H926" t="s">
        <v>30</v>
      </c>
      <c r="I926" s="7">
        <v>0.12</v>
      </c>
      <c r="J926" t="s">
        <v>27</v>
      </c>
      <c r="K926" t="s">
        <v>19</v>
      </c>
    </row>
    <row r="927" spans="1:11" x14ac:dyDescent="0.25">
      <c r="A927" s="1" t="s">
        <v>71</v>
      </c>
      <c r="B927" t="s">
        <v>38</v>
      </c>
      <c r="C927" t="s">
        <v>15</v>
      </c>
      <c r="D927" s="6">
        <f t="shared" si="14"/>
        <v>5070.1440000000002</v>
      </c>
      <c r="E927" s="5">
        <v>8</v>
      </c>
      <c r="F927" t="s">
        <v>29</v>
      </c>
      <c r="G927" s="6">
        <v>792.21</v>
      </c>
      <c r="H927" t="s">
        <v>30</v>
      </c>
      <c r="I927" s="7">
        <v>0.2</v>
      </c>
      <c r="J927" t="s">
        <v>31</v>
      </c>
      <c r="K927" t="s">
        <v>19</v>
      </c>
    </row>
    <row r="928" spans="1:11" x14ac:dyDescent="0.25">
      <c r="A928" s="1" t="s">
        <v>71</v>
      </c>
      <c r="B928" t="s">
        <v>38</v>
      </c>
      <c r="C928" t="s">
        <v>15</v>
      </c>
      <c r="D928" s="6">
        <f t="shared" si="14"/>
        <v>13557.997999999998</v>
      </c>
      <c r="E928" s="5">
        <v>5</v>
      </c>
      <c r="F928" t="s">
        <v>16</v>
      </c>
      <c r="G928" s="6">
        <v>3714.52</v>
      </c>
      <c r="H928" t="s">
        <v>17</v>
      </c>
      <c r="I928" s="7">
        <v>0.27</v>
      </c>
      <c r="J928" t="s">
        <v>31</v>
      </c>
      <c r="K928" t="s">
        <v>22</v>
      </c>
    </row>
    <row r="929" spans="1:11" x14ac:dyDescent="0.25">
      <c r="A929" s="1" t="s">
        <v>71</v>
      </c>
      <c r="B929" t="s">
        <v>33</v>
      </c>
      <c r="C929" t="s">
        <v>21</v>
      </c>
      <c r="D929" s="6">
        <f t="shared" si="14"/>
        <v>6750.0887999999995</v>
      </c>
      <c r="E929" s="5">
        <v>2</v>
      </c>
      <c r="F929" t="s">
        <v>16</v>
      </c>
      <c r="G929" s="6">
        <v>4017.91</v>
      </c>
      <c r="H929" t="s">
        <v>17</v>
      </c>
      <c r="I929" s="7">
        <v>0.16</v>
      </c>
      <c r="J929" t="s">
        <v>27</v>
      </c>
      <c r="K929" t="s">
        <v>19</v>
      </c>
    </row>
    <row r="930" spans="1:11" x14ac:dyDescent="0.25">
      <c r="A930" s="1" t="s">
        <v>71</v>
      </c>
      <c r="B930" t="s">
        <v>42</v>
      </c>
      <c r="C930" t="s">
        <v>25</v>
      </c>
      <c r="D930" s="6">
        <f t="shared" si="14"/>
        <v>147659.19499999998</v>
      </c>
      <c r="E930" s="5">
        <v>47</v>
      </c>
      <c r="F930" t="s">
        <v>35</v>
      </c>
      <c r="G930" s="6">
        <v>3696.1</v>
      </c>
      <c r="H930" t="s">
        <v>17</v>
      </c>
      <c r="I930" s="7">
        <v>0.15</v>
      </c>
      <c r="J930" t="s">
        <v>27</v>
      </c>
      <c r="K930" t="s">
        <v>22</v>
      </c>
    </row>
    <row r="931" spans="1:11" x14ac:dyDescent="0.25">
      <c r="A931" s="1" t="s">
        <v>71</v>
      </c>
      <c r="B931" t="s">
        <v>42</v>
      </c>
      <c r="C931" t="s">
        <v>21</v>
      </c>
      <c r="D931" s="6">
        <f t="shared" si="14"/>
        <v>28001.903999999999</v>
      </c>
      <c r="E931" s="5">
        <v>8</v>
      </c>
      <c r="F931" t="s">
        <v>29</v>
      </c>
      <c r="G931" s="6">
        <v>4166.95</v>
      </c>
      <c r="H931" t="s">
        <v>17</v>
      </c>
      <c r="I931" s="7">
        <v>0.16</v>
      </c>
      <c r="J931" t="s">
        <v>27</v>
      </c>
      <c r="K931" t="s">
        <v>19</v>
      </c>
    </row>
    <row r="932" spans="1:11" x14ac:dyDescent="0.25">
      <c r="A932" s="1" t="s">
        <v>71</v>
      </c>
      <c r="B932" t="s">
        <v>42</v>
      </c>
      <c r="C932" t="s">
        <v>34</v>
      </c>
      <c r="D932" s="6">
        <f t="shared" si="14"/>
        <v>8627.4149999999991</v>
      </c>
      <c r="E932" s="5">
        <v>17</v>
      </c>
      <c r="F932" t="s">
        <v>16</v>
      </c>
      <c r="G932" s="6">
        <v>676.66</v>
      </c>
      <c r="H932" t="s">
        <v>17</v>
      </c>
      <c r="I932" s="7">
        <v>0.25</v>
      </c>
      <c r="J932" t="s">
        <v>18</v>
      </c>
      <c r="K932" t="s">
        <v>22</v>
      </c>
    </row>
    <row r="933" spans="1:11" x14ac:dyDescent="0.25">
      <c r="A933" s="1" t="s">
        <v>71</v>
      </c>
      <c r="B933" t="s">
        <v>14</v>
      </c>
      <c r="C933" t="s">
        <v>15</v>
      </c>
      <c r="D933" s="6">
        <f t="shared" si="14"/>
        <v>188436.23999999961</v>
      </c>
      <c r="E933" s="5">
        <v>45</v>
      </c>
      <c r="F933" t="s">
        <v>35</v>
      </c>
      <c r="G933" s="6">
        <v>4551.5999999999904</v>
      </c>
      <c r="H933" t="s">
        <v>30</v>
      </c>
      <c r="I933" s="7">
        <v>0.08</v>
      </c>
      <c r="J933" t="s">
        <v>27</v>
      </c>
      <c r="K933" t="s">
        <v>19</v>
      </c>
    </row>
    <row r="934" spans="1:11" x14ac:dyDescent="0.25">
      <c r="A934" s="1" t="s">
        <v>71</v>
      </c>
      <c r="B934" t="s">
        <v>14</v>
      </c>
      <c r="C934" t="s">
        <v>34</v>
      </c>
      <c r="D934" s="6">
        <f t="shared" si="14"/>
        <v>17620.855199999998</v>
      </c>
      <c r="E934" s="5">
        <v>13</v>
      </c>
      <c r="F934" t="s">
        <v>35</v>
      </c>
      <c r="G934" s="6">
        <v>1882.57</v>
      </c>
      <c r="H934" t="s">
        <v>17</v>
      </c>
      <c r="I934" s="7">
        <v>0.28000000000000003</v>
      </c>
      <c r="J934" t="s">
        <v>18</v>
      </c>
      <c r="K934" t="s">
        <v>19</v>
      </c>
    </row>
    <row r="935" spans="1:11" x14ac:dyDescent="0.25">
      <c r="A935" s="1" t="s">
        <v>71</v>
      </c>
      <c r="B935" t="s">
        <v>14</v>
      </c>
      <c r="C935" t="s">
        <v>25</v>
      </c>
      <c r="D935" s="6">
        <f t="shared" si="14"/>
        <v>61603.618499999997</v>
      </c>
      <c r="E935" s="5">
        <v>31</v>
      </c>
      <c r="F935" t="s">
        <v>16</v>
      </c>
      <c r="G935" s="6">
        <v>2453.35</v>
      </c>
      <c r="H935" t="s">
        <v>17</v>
      </c>
      <c r="I935" s="7">
        <v>0.19</v>
      </c>
      <c r="J935" t="s">
        <v>31</v>
      </c>
      <c r="K935" t="s">
        <v>19</v>
      </c>
    </row>
    <row r="936" spans="1:11" x14ac:dyDescent="0.25">
      <c r="A936" s="1" t="s">
        <v>68</v>
      </c>
      <c r="B936" t="s">
        <v>24</v>
      </c>
      <c r="C936" t="s">
        <v>15</v>
      </c>
      <c r="D936" s="6">
        <f t="shared" si="14"/>
        <v>140961.57749999998</v>
      </c>
      <c r="E936" s="5">
        <v>47</v>
      </c>
      <c r="F936" t="s">
        <v>16</v>
      </c>
      <c r="G936" s="6">
        <v>3998.91</v>
      </c>
      <c r="H936" t="s">
        <v>30</v>
      </c>
      <c r="I936" s="7">
        <v>0.25</v>
      </c>
      <c r="J936" t="s">
        <v>31</v>
      </c>
      <c r="K936" t="s">
        <v>19</v>
      </c>
    </row>
    <row r="937" spans="1:11" x14ac:dyDescent="0.25">
      <c r="A937" s="1" t="s">
        <v>71</v>
      </c>
      <c r="B937" t="s">
        <v>38</v>
      </c>
      <c r="C937" t="s">
        <v>21</v>
      </c>
      <c r="D937" s="6">
        <f t="shared" si="14"/>
        <v>95534.602499999994</v>
      </c>
      <c r="E937" s="5">
        <v>25</v>
      </c>
      <c r="F937" t="s">
        <v>35</v>
      </c>
      <c r="G937" s="6">
        <v>4293.6899999999996</v>
      </c>
      <c r="H937" t="s">
        <v>30</v>
      </c>
      <c r="I937" s="7">
        <v>0.11</v>
      </c>
      <c r="J937" t="s">
        <v>27</v>
      </c>
      <c r="K937" t="s">
        <v>19</v>
      </c>
    </row>
    <row r="938" spans="1:11" x14ac:dyDescent="0.25">
      <c r="A938" s="1" t="s">
        <v>71</v>
      </c>
      <c r="B938" t="s">
        <v>38</v>
      </c>
      <c r="C938" t="s">
        <v>25</v>
      </c>
      <c r="D938" s="6">
        <f t="shared" si="14"/>
        <v>149108.25599999999</v>
      </c>
      <c r="E938" s="5">
        <v>32</v>
      </c>
      <c r="F938" t="s">
        <v>29</v>
      </c>
      <c r="G938" s="6">
        <v>4706.7</v>
      </c>
      <c r="H938" t="s">
        <v>30</v>
      </c>
      <c r="I938" s="7">
        <v>0.01</v>
      </c>
      <c r="J938" t="s">
        <v>27</v>
      </c>
      <c r="K938" t="s">
        <v>22</v>
      </c>
    </row>
    <row r="939" spans="1:11" x14ac:dyDescent="0.25">
      <c r="A939" s="1" t="s">
        <v>71</v>
      </c>
      <c r="B939" t="s">
        <v>42</v>
      </c>
      <c r="C939" t="s">
        <v>15</v>
      </c>
      <c r="D939" s="6">
        <f t="shared" si="14"/>
        <v>81747.200000000012</v>
      </c>
      <c r="E939" s="5">
        <v>32</v>
      </c>
      <c r="F939" t="s">
        <v>26</v>
      </c>
      <c r="G939" s="6">
        <v>3193.25</v>
      </c>
      <c r="H939" t="s">
        <v>30</v>
      </c>
      <c r="I939" s="7">
        <v>0.2</v>
      </c>
      <c r="J939" t="s">
        <v>27</v>
      </c>
      <c r="K939" t="s">
        <v>19</v>
      </c>
    </row>
    <row r="940" spans="1:11" x14ac:dyDescent="0.25">
      <c r="A940" s="1" t="s">
        <v>71</v>
      </c>
      <c r="B940" t="s">
        <v>14</v>
      </c>
      <c r="C940" t="s">
        <v>15</v>
      </c>
      <c r="D940" s="6">
        <f t="shared" si="14"/>
        <v>89764.804800000013</v>
      </c>
      <c r="E940" s="5">
        <v>44</v>
      </c>
      <c r="F940" t="s">
        <v>16</v>
      </c>
      <c r="G940" s="6">
        <v>2217.5100000000002</v>
      </c>
      <c r="H940" t="s">
        <v>17</v>
      </c>
      <c r="I940" s="7">
        <v>0.08</v>
      </c>
      <c r="J940" t="s">
        <v>31</v>
      </c>
      <c r="K940" t="s">
        <v>19</v>
      </c>
    </row>
    <row r="941" spans="1:11" x14ac:dyDescent="0.25">
      <c r="A941" s="1" t="s">
        <v>71</v>
      </c>
      <c r="B941" t="s">
        <v>38</v>
      </c>
      <c r="C941" t="s">
        <v>34</v>
      </c>
      <c r="D941" s="6">
        <f t="shared" si="14"/>
        <v>10239.407999999999</v>
      </c>
      <c r="E941" s="5">
        <v>4</v>
      </c>
      <c r="F941" t="s">
        <v>29</v>
      </c>
      <c r="G941" s="6">
        <v>3555.35</v>
      </c>
      <c r="H941" t="s">
        <v>30</v>
      </c>
      <c r="I941" s="7">
        <v>0.28000000000000003</v>
      </c>
      <c r="J941" t="s">
        <v>31</v>
      </c>
      <c r="K941" t="s">
        <v>19</v>
      </c>
    </row>
    <row r="942" spans="1:11" x14ac:dyDescent="0.25">
      <c r="A942" s="1" t="s">
        <v>71</v>
      </c>
      <c r="B942" t="s">
        <v>14</v>
      </c>
      <c r="C942" t="s">
        <v>21</v>
      </c>
      <c r="D942" s="6">
        <f t="shared" si="14"/>
        <v>93220.108500000002</v>
      </c>
      <c r="E942" s="5">
        <v>29</v>
      </c>
      <c r="F942" t="s">
        <v>35</v>
      </c>
      <c r="G942" s="6">
        <v>3383.67</v>
      </c>
      <c r="H942" t="s">
        <v>30</v>
      </c>
      <c r="I942" s="7">
        <v>0.05</v>
      </c>
      <c r="J942" t="s">
        <v>31</v>
      </c>
      <c r="K942" t="s">
        <v>22</v>
      </c>
    </row>
    <row r="943" spans="1:11" x14ac:dyDescent="0.25">
      <c r="A943" s="1" t="s">
        <v>71</v>
      </c>
      <c r="B943" t="s">
        <v>24</v>
      </c>
      <c r="C943" t="s">
        <v>25</v>
      </c>
      <c r="D943" s="6">
        <f t="shared" si="14"/>
        <v>141595.39800000002</v>
      </c>
      <c r="E943" s="5">
        <v>42</v>
      </c>
      <c r="F943" t="s">
        <v>29</v>
      </c>
      <c r="G943" s="6">
        <v>3745.91</v>
      </c>
      <c r="H943" t="s">
        <v>17</v>
      </c>
      <c r="I943" s="7">
        <v>0.1</v>
      </c>
      <c r="J943" t="s">
        <v>18</v>
      </c>
      <c r="K943" t="s">
        <v>19</v>
      </c>
    </row>
    <row r="944" spans="1:11" x14ac:dyDescent="0.25">
      <c r="A944" s="1" t="s">
        <v>71</v>
      </c>
      <c r="B944" t="s">
        <v>14</v>
      </c>
      <c r="C944" t="s">
        <v>34</v>
      </c>
      <c r="D944" s="6">
        <f t="shared" si="14"/>
        <v>54612.342399999994</v>
      </c>
      <c r="E944" s="5">
        <v>22</v>
      </c>
      <c r="F944" t="s">
        <v>16</v>
      </c>
      <c r="G944" s="6">
        <v>2533.04</v>
      </c>
      <c r="H944" t="s">
        <v>17</v>
      </c>
      <c r="I944" s="7">
        <v>0.02</v>
      </c>
      <c r="J944" t="s">
        <v>27</v>
      </c>
      <c r="K944" t="s">
        <v>22</v>
      </c>
    </row>
    <row r="945" spans="1:11" x14ac:dyDescent="0.25">
      <c r="A945" s="1" t="s">
        <v>71</v>
      </c>
      <c r="B945" t="s">
        <v>14</v>
      </c>
      <c r="C945" t="s">
        <v>25</v>
      </c>
      <c r="D945" s="6">
        <f t="shared" si="14"/>
        <v>13169.608099999914</v>
      </c>
      <c r="E945" s="5">
        <v>11</v>
      </c>
      <c r="F945" t="s">
        <v>26</v>
      </c>
      <c r="G945" s="6">
        <v>1515.48999999999</v>
      </c>
      <c r="H945" t="s">
        <v>17</v>
      </c>
      <c r="I945" s="7">
        <v>0.21</v>
      </c>
      <c r="J945" t="s">
        <v>27</v>
      </c>
      <c r="K945" t="s">
        <v>22</v>
      </c>
    </row>
    <row r="946" spans="1:11" x14ac:dyDescent="0.25">
      <c r="A946" s="1" t="s">
        <v>73</v>
      </c>
      <c r="B946" t="s">
        <v>24</v>
      </c>
      <c r="C946" t="s">
        <v>15</v>
      </c>
      <c r="D946" s="6">
        <f t="shared" si="14"/>
        <v>142226.5119999997</v>
      </c>
      <c r="E946" s="5">
        <v>31</v>
      </c>
      <c r="F946" t="s">
        <v>16</v>
      </c>
      <c r="G946" s="6">
        <v>4880.7999999999902</v>
      </c>
      <c r="H946" t="s">
        <v>30</v>
      </c>
      <c r="I946" s="7">
        <v>0.06</v>
      </c>
      <c r="J946" t="s">
        <v>18</v>
      </c>
      <c r="K946" t="s">
        <v>22</v>
      </c>
    </row>
    <row r="947" spans="1:11" x14ac:dyDescent="0.25">
      <c r="A947" s="1" t="s">
        <v>71</v>
      </c>
      <c r="B947" t="s">
        <v>42</v>
      </c>
      <c r="C947" t="s">
        <v>25</v>
      </c>
      <c r="D947" s="6">
        <f t="shared" si="14"/>
        <v>144328.55429999958</v>
      </c>
      <c r="E947" s="5">
        <v>49</v>
      </c>
      <c r="F947" t="s">
        <v>35</v>
      </c>
      <c r="G947" s="6">
        <v>3385.6099999999901</v>
      </c>
      <c r="H947" t="s">
        <v>30</v>
      </c>
      <c r="I947" s="7">
        <v>0.13</v>
      </c>
      <c r="J947" t="s">
        <v>18</v>
      </c>
      <c r="K947" t="s">
        <v>19</v>
      </c>
    </row>
    <row r="948" spans="1:11" x14ac:dyDescent="0.25">
      <c r="A948" s="1" t="s">
        <v>71</v>
      </c>
      <c r="B948" t="s">
        <v>24</v>
      </c>
      <c r="C948" t="s">
        <v>21</v>
      </c>
      <c r="D948" s="6">
        <f t="shared" si="14"/>
        <v>144532.2879</v>
      </c>
      <c r="E948" s="5">
        <v>39</v>
      </c>
      <c r="F948" t="s">
        <v>35</v>
      </c>
      <c r="G948" s="6">
        <v>3743.39</v>
      </c>
      <c r="H948" t="s">
        <v>30</v>
      </c>
      <c r="I948" s="7">
        <v>0.01</v>
      </c>
      <c r="J948" t="s">
        <v>27</v>
      </c>
      <c r="K948" t="s">
        <v>19</v>
      </c>
    </row>
    <row r="949" spans="1:11" x14ac:dyDescent="0.25">
      <c r="A949" s="1" t="s">
        <v>64</v>
      </c>
      <c r="B949" t="s">
        <v>24</v>
      </c>
      <c r="C949" t="s">
        <v>25</v>
      </c>
      <c r="D949" s="6">
        <f t="shared" si="14"/>
        <v>148546.88639999999</v>
      </c>
      <c r="E949" s="5">
        <v>32</v>
      </c>
      <c r="F949" t="s">
        <v>35</v>
      </c>
      <c r="G949" s="6">
        <v>4785.66</v>
      </c>
      <c r="H949" t="s">
        <v>30</v>
      </c>
      <c r="I949" s="7">
        <v>0.03</v>
      </c>
      <c r="J949" t="s">
        <v>18</v>
      </c>
      <c r="K949" t="s">
        <v>19</v>
      </c>
    </row>
    <row r="950" spans="1:11" x14ac:dyDescent="0.25">
      <c r="A950" s="1" t="s">
        <v>71</v>
      </c>
      <c r="B950" t="s">
        <v>42</v>
      </c>
      <c r="C950" t="s">
        <v>21</v>
      </c>
      <c r="D950" s="6">
        <f t="shared" si="14"/>
        <v>76114.896000000008</v>
      </c>
      <c r="E950" s="5">
        <v>44</v>
      </c>
      <c r="F950" t="s">
        <v>29</v>
      </c>
      <c r="G950" s="6">
        <v>2217.8000000000002</v>
      </c>
      <c r="H950" t="s">
        <v>30</v>
      </c>
      <c r="I950" s="7">
        <v>0.22</v>
      </c>
      <c r="J950" t="s">
        <v>27</v>
      </c>
      <c r="K950" t="s">
        <v>19</v>
      </c>
    </row>
    <row r="951" spans="1:11" x14ac:dyDescent="0.25">
      <c r="A951" s="1" t="s">
        <v>71</v>
      </c>
      <c r="B951" t="s">
        <v>38</v>
      </c>
      <c r="C951" t="s">
        <v>15</v>
      </c>
      <c r="D951" s="6">
        <f t="shared" si="14"/>
        <v>48349.440000000002</v>
      </c>
      <c r="E951" s="5">
        <v>12</v>
      </c>
      <c r="F951" t="s">
        <v>16</v>
      </c>
      <c r="G951" s="6">
        <v>5036.3999999999996</v>
      </c>
      <c r="H951" t="s">
        <v>30</v>
      </c>
      <c r="I951" s="7">
        <v>0.2</v>
      </c>
      <c r="J951" t="s">
        <v>27</v>
      </c>
      <c r="K951" t="s">
        <v>22</v>
      </c>
    </row>
    <row r="952" spans="1:11" x14ac:dyDescent="0.25">
      <c r="A952" s="1" t="s">
        <v>71</v>
      </c>
      <c r="B952" t="s">
        <v>38</v>
      </c>
      <c r="C952" t="s">
        <v>34</v>
      </c>
      <c r="D952" s="6">
        <f t="shared" si="14"/>
        <v>7226.58</v>
      </c>
      <c r="E952" s="5">
        <v>12</v>
      </c>
      <c r="F952" t="s">
        <v>16</v>
      </c>
      <c r="G952" s="6">
        <v>700.25</v>
      </c>
      <c r="H952" t="s">
        <v>17</v>
      </c>
      <c r="I952" s="7">
        <v>0.14000000000000001</v>
      </c>
      <c r="J952" t="s">
        <v>18</v>
      </c>
      <c r="K952" t="s">
        <v>19</v>
      </c>
    </row>
    <row r="953" spans="1:11" x14ac:dyDescent="0.25">
      <c r="A953" s="1" t="s">
        <v>71</v>
      </c>
      <c r="B953" t="s">
        <v>14</v>
      </c>
      <c r="C953" t="s">
        <v>25</v>
      </c>
      <c r="D953" s="6">
        <f t="shared" si="14"/>
        <v>48159.237000000001</v>
      </c>
      <c r="E953" s="5">
        <v>15</v>
      </c>
      <c r="F953" t="s">
        <v>26</v>
      </c>
      <c r="G953" s="6">
        <v>4338.67</v>
      </c>
      <c r="H953" t="s">
        <v>17</v>
      </c>
      <c r="I953" s="7">
        <v>0.26</v>
      </c>
      <c r="J953" t="s">
        <v>31</v>
      </c>
      <c r="K953" t="s">
        <v>19</v>
      </c>
    </row>
    <row r="954" spans="1:11" x14ac:dyDescent="0.25">
      <c r="A954" s="1" t="s">
        <v>71</v>
      </c>
      <c r="B954" t="s">
        <v>14</v>
      </c>
      <c r="C954" t="s">
        <v>34</v>
      </c>
      <c r="D954" s="6">
        <f t="shared" si="14"/>
        <v>38850.199999999997</v>
      </c>
      <c r="E954" s="5">
        <v>20</v>
      </c>
      <c r="F954" t="s">
        <v>16</v>
      </c>
      <c r="G954" s="6">
        <v>2066.5</v>
      </c>
      <c r="H954" t="s">
        <v>17</v>
      </c>
      <c r="I954" s="7">
        <v>0.06</v>
      </c>
      <c r="J954" t="s">
        <v>27</v>
      </c>
      <c r="K954" t="s">
        <v>19</v>
      </c>
    </row>
    <row r="955" spans="1:11" x14ac:dyDescent="0.25">
      <c r="A955" s="1" t="s">
        <v>63</v>
      </c>
      <c r="B955" t="s">
        <v>24</v>
      </c>
      <c r="C955" t="s">
        <v>25</v>
      </c>
      <c r="D955" s="6">
        <f t="shared" si="14"/>
        <v>148919.2335</v>
      </c>
      <c r="E955" s="5">
        <v>45</v>
      </c>
      <c r="F955" t="s">
        <v>35</v>
      </c>
      <c r="G955" s="6">
        <v>4533.3100000000004</v>
      </c>
      <c r="H955" t="s">
        <v>17</v>
      </c>
      <c r="I955" s="7">
        <v>0.27</v>
      </c>
      <c r="J955" t="s">
        <v>31</v>
      </c>
      <c r="K955" t="s">
        <v>19</v>
      </c>
    </row>
    <row r="956" spans="1:11" x14ac:dyDescent="0.25">
      <c r="A956" s="1" t="s">
        <v>64</v>
      </c>
      <c r="B956" t="s">
        <v>24</v>
      </c>
      <c r="C956" t="s">
        <v>15</v>
      </c>
      <c r="D956" s="6">
        <f t="shared" si="14"/>
        <v>153483.76999999999</v>
      </c>
      <c r="E956" s="5">
        <v>37</v>
      </c>
      <c r="F956" t="s">
        <v>35</v>
      </c>
      <c r="G956" s="6">
        <v>4823.5</v>
      </c>
      <c r="H956" t="s">
        <v>17</v>
      </c>
      <c r="I956" s="7">
        <v>0.14000000000000001</v>
      </c>
      <c r="J956" t="s">
        <v>31</v>
      </c>
      <c r="K956" t="s">
        <v>19</v>
      </c>
    </row>
    <row r="957" spans="1:11" x14ac:dyDescent="0.25">
      <c r="A957" s="1" t="s">
        <v>70</v>
      </c>
      <c r="B957" t="s">
        <v>24</v>
      </c>
      <c r="C957" t="s">
        <v>21</v>
      </c>
      <c r="D957" s="6">
        <f t="shared" si="14"/>
        <v>153964.0871999996</v>
      </c>
      <c r="E957" s="5">
        <v>42</v>
      </c>
      <c r="F957" t="s">
        <v>29</v>
      </c>
      <c r="G957" s="6">
        <v>3702.8399999999901</v>
      </c>
      <c r="H957" t="s">
        <v>17</v>
      </c>
      <c r="I957" s="7">
        <v>0.01</v>
      </c>
      <c r="J957" t="s">
        <v>18</v>
      </c>
      <c r="K957" t="s">
        <v>22</v>
      </c>
    </row>
    <row r="958" spans="1:11" x14ac:dyDescent="0.25">
      <c r="A958" s="1" t="s">
        <v>71</v>
      </c>
      <c r="B958" t="s">
        <v>42</v>
      </c>
      <c r="C958" t="s">
        <v>15</v>
      </c>
      <c r="D958" s="6">
        <f t="shared" si="14"/>
        <v>109201.76250000001</v>
      </c>
      <c r="E958" s="5">
        <v>31</v>
      </c>
      <c r="F958" t="s">
        <v>26</v>
      </c>
      <c r="G958" s="6">
        <v>4696.8500000000004</v>
      </c>
      <c r="H958" t="s">
        <v>17</v>
      </c>
      <c r="I958" s="7">
        <v>0.25</v>
      </c>
      <c r="J958" t="s">
        <v>27</v>
      </c>
      <c r="K958" t="s">
        <v>22</v>
      </c>
    </row>
    <row r="959" spans="1:11" x14ac:dyDescent="0.25">
      <c r="A959" s="1" t="s">
        <v>71</v>
      </c>
      <c r="B959" t="s">
        <v>14</v>
      </c>
      <c r="C959" t="s">
        <v>15</v>
      </c>
      <c r="D959" s="6">
        <f t="shared" si="14"/>
        <v>84612.716800000009</v>
      </c>
      <c r="E959" s="5">
        <v>32</v>
      </c>
      <c r="F959" t="s">
        <v>35</v>
      </c>
      <c r="G959" s="6">
        <v>3074.59</v>
      </c>
      <c r="H959" t="s">
        <v>30</v>
      </c>
      <c r="I959" s="7">
        <v>0.14000000000000001</v>
      </c>
      <c r="J959" t="s">
        <v>18</v>
      </c>
      <c r="K959" t="s">
        <v>22</v>
      </c>
    </row>
    <row r="960" spans="1:11" x14ac:dyDescent="0.25">
      <c r="A960" s="1" t="s">
        <v>63</v>
      </c>
      <c r="B960" t="s">
        <v>24</v>
      </c>
      <c r="C960" t="s">
        <v>25</v>
      </c>
      <c r="D960" s="6">
        <f t="shared" si="14"/>
        <v>154546.1214</v>
      </c>
      <c r="E960" s="5">
        <v>37</v>
      </c>
      <c r="F960" t="s">
        <v>35</v>
      </c>
      <c r="G960" s="6">
        <v>4801.0600000000004</v>
      </c>
      <c r="H960" t="s">
        <v>30</v>
      </c>
      <c r="I960" s="7">
        <v>0.13</v>
      </c>
      <c r="J960" t="s">
        <v>27</v>
      </c>
      <c r="K960" t="s">
        <v>22</v>
      </c>
    </row>
    <row r="961" spans="1:11" x14ac:dyDescent="0.25">
      <c r="A961" s="1" t="s">
        <v>71</v>
      </c>
      <c r="B961" t="s">
        <v>14</v>
      </c>
      <c r="C961" t="s">
        <v>21</v>
      </c>
      <c r="D961" s="6">
        <f t="shared" si="14"/>
        <v>78530.233600000007</v>
      </c>
      <c r="E961" s="5">
        <v>32</v>
      </c>
      <c r="F961" t="s">
        <v>26</v>
      </c>
      <c r="G961" s="6">
        <v>2696.78</v>
      </c>
      <c r="H961" t="s">
        <v>30</v>
      </c>
      <c r="I961" s="7">
        <v>0.09</v>
      </c>
      <c r="J961" t="s">
        <v>18</v>
      </c>
      <c r="K961" t="s">
        <v>22</v>
      </c>
    </row>
    <row r="962" spans="1:11" x14ac:dyDescent="0.25">
      <c r="A962" s="1" t="s">
        <v>71</v>
      </c>
      <c r="B962" t="s">
        <v>14</v>
      </c>
      <c r="C962" t="s">
        <v>21</v>
      </c>
      <c r="D962" s="6">
        <f t="shared" ref="D962:D1001" si="15">(Unit_Price*Qty_Sold)*(1-Discount)</f>
        <v>35247.807000000001</v>
      </c>
      <c r="E962" s="5">
        <v>49</v>
      </c>
      <c r="F962" t="s">
        <v>16</v>
      </c>
      <c r="G962" s="6">
        <v>799.27</v>
      </c>
      <c r="H962" t="s">
        <v>30</v>
      </c>
      <c r="I962" s="7">
        <v>0.1</v>
      </c>
      <c r="J962" t="s">
        <v>27</v>
      </c>
      <c r="K962" t="s">
        <v>19</v>
      </c>
    </row>
    <row r="963" spans="1:11" x14ac:dyDescent="0.25">
      <c r="A963" s="1" t="s">
        <v>71</v>
      </c>
      <c r="B963" t="s">
        <v>42</v>
      </c>
      <c r="C963" t="s">
        <v>34</v>
      </c>
      <c r="D963" s="6">
        <f t="shared" si="15"/>
        <v>60538.143600000003</v>
      </c>
      <c r="E963" s="5">
        <v>33</v>
      </c>
      <c r="F963" t="s">
        <v>26</v>
      </c>
      <c r="G963" s="6">
        <v>1994.01</v>
      </c>
      <c r="H963" t="s">
        <v>17</v>
      </c>
      <c r="I963" s="7">
        <v>0.08</v>
      </c>
      <c r="J963" t="s">
        <v>18</v>
      </c>
      <c r="K963" t="s">
        <v>19</v>
      </c>
    </row>
    <row r="964" spans="1:11" x14ac:dyDescent="0.25">
      <c r="A964" s="1" t="s">
        <v>69</v>
      </c>
      <c r="B964" t="s">
        <v>24</v>
      </c>
      <c r="C964" t="s">
        <v>15</v>
      </c>
      <c r="D964" s="6">
        <f t="shared" si="15"/>
        <v>156874.965</v>
      </c>
      <c r="E964" s="5">
        <v>43</v>
      </c>
      <c r="F964" t="s">
        <v>29</v>
      </c>
      <c r="G964" s="6">
        <v>4864.34</v>
      </c>
      <c r="H964" t="s">
        <v>17</v>
      </c>
      <c r="I964" s="7">
        <v>0.25</v>
      </c>
      <c r="J964" t="s">
        <v>27</v>
      </c>
      <c r="K964" t="s">
        <v>19</v>
      </c>
    </row>
    <row r="965" spans="1:11" x14ac:dyDescent="0.25">
      <c r="A965" s="1" t="s">
        <v>63</v>
      </c>
      <c r="B965" t="s">
        <v>24</v>
      </c>
      <c r="C965" t="s">
        <v>15</v>
      </c>
      <c r="D965" s="6">
        <f t="shared" si="15"/>
        <v>158229.82800000001</v>
      </c>
      <c r="E965" s="5">
        <v>45</v>
      </c>
      <c r="F965" t="s">
        <v>29</v>
      </c>
      <c r="G965" s="6">
        <v>3780.88</v>
      </c>
      <c r="H965" t="s">
        <v>30</v>
      </c>
      <c r="I965" s="7">
        <v>7.0000000000000007E-2</v>
      </c>
      <c r="J965" t="s">
        <v>18</v>
      </c>
      <c r="K965" t="s">
        <v>22</v>
      </c>
    </row>
    <row r="966" spans="1:11" x14ac:dyDescent="0.25">
      <c r="A966" s="1" t="s">
        <v>71</v>
      </c>
      <c r="B966" t="s">
        <v>33</v>
      </c>
      <c r="C966" t="s">
        <v>15</v>
      </c>
      <c r="D966" s="6">
        <f t="shared" si="15"/>
        <v>28308.21</v>
      </c>
      <c r="E966" s="5">
        <v>15</v>
      </c>
      <c r="F966" t="s">
        <v>29</v>
      </c>
      <c r="G966" s="6">
        <v>2696.02</v>
      </c>
      <c r="H966" t="s">
        <v>30</v>
      </c>
      <c r="I966" s="7">
        <v>0.3</v>
      </c>
      <c r="J966" t="s">
        <v>18</v>
      </c>
      <c r="K966" t="s">
        <v>19</v>
      </c>
    </row>
    <row r="967" spans="1:11" x14ac:dyDescent="0.25">
      <c r="A967" s="1" t="s">
        <v>66</v>
      </c>
      <c r="B967" t="s">
        <v>24</v>
      </c>
      <c r="C967" t="s">
        <v>21</v>
      </c>
      <c r="D967" s="6">
        <f t="shared" si="15"/>
        <v>163581.12449999998</v>
      </c>
      <c r="E967" s="5">
        <v>45</v>
      </c>
      <c r="F967" t="s">
        <v>29</v>
      </c>
      <c r="G967" s="6">
        <v>5119.91</v>
      </c>
      <c r="H967" t="s">
        <v>17</v>
      </c>
      <c r="I967" s="7">
        <v>0.28999999999999998</v>
      </c>
      <c r="J967" t="s">
        <v>18</v>
      </c>
      <c r="K967" t="s">
        <v>22</v>
      </c>
    </row>
    <row r="968" spans="1:11" x14ac:dyDescent="0.25">
      <c r="A968" s="1" t="s">
        <v>71</v>
      </c>
      <c r="B968" t="s">
        <v>33</v>
      </c>
      <c r="C968" t="s">
        <v>21</v>
      </c>
      <c r="D968" s="6">
        <f t="shared" si="15"/>
        <v>94562.084999999992</v>
      </c>
      <c r="E968" s="5">
        <v>46</v>
      </c>
      <c r="F968" t="s">
        <v>16</v>
      </c>
      <c r="G968" s="6">
        <v>2740.93</v>
      </c>
      <c r="H968" t="s">
        <v>17</v>
      </c>
      <c r="I968" s="7">
        <v>0.25</v>
      </c>
      <c r="J968" t="s">
        <v>27</v>
      </c>
      <c r="K968" t="s">
        <v>19</v>
      </c>
    </row>
    <row r="969" spans="1:11" x14ac:dyDescent="0.25">
      <c r="A969" s="1" t="s">
        <v>72</v>
      </c>
      <c r="B969" t="s">
        <v>24</v>
      </c>
      <c r="C969" t="s">
        <v>34</v>
      </c>
      <c r="D969" s="6">
        <f t="shared" si="15"/>
        <v>166406.6208</v>
      </c>
      <c r="E969" s="5">
        <v>47</v>
      </c>
      <c r="F969" t="s">
        <v>35</v>
      </c>
      <c r="G969" s="6">
        <v>4658.6400000000003</v>
      </c>
      <c r="H969" t="s">
        <v>30</v>
      </c>
      <c r="I969" s="7">
        <v>0.24</v>
      </c>
      <c r="J969" t="s">
        <v>31</v>
      </c>
      <c r="K969" t="s">
        <v>22</v>
      </c>
    </row>
    <row r="970" spans="1:11" x14ac:dyDescent="0.25">
      <c r="A970" s="1" t="s">
        <v>71</v>
      </c>
      <c r="B970" t="s">
        <v>42</v>
      </c>
      <c r="C970" t="s">
        <v>21</v>
      </c>
      <c r="D970" s="6">
        <f t="shared" si="15"/>
        <v>12678.701200000001</v>
      </c>
      <c r="E970" s="5">
        <v>22</v>
      </c>
      <c r="F970" t="s">
        <v>29</v>
      </c>
      <c r="G970" s="6">
        <v>613.09</v>
      </c>
      <c r="H970" t="s">
        <v>17</v>
      </c>
      <c r="I970" s="7">
        <v>0.06</v>
      </c>
      <c r="J970" t="s">
        <v>18</v>
      </c>
      <c r="K970" t="s">
        <v>19</v>
      </c>
    </row>
    <row r="971" spans="1:11" x14ac:dyDescent="0.25">
      <c r="A971" s="1" t="s">
        <v>71</v>
      </c>
      <c r="B971" t="s">
        <v>42</v>
      </c>
      <c r="C971" t="s">
        <v>15</v>
      </c>
      <c r="D971" s="6">
        <f t="shared" si="15"/>
        <v>68073.12000000001</v>
      </c>
      <c r="E971" s="5">
        <v>45</v>
      </c>
      <c r="F971" t="s">
        <v>29</v>
      </c>
      <c r="G971" s="6">
        <v>1844.8</v>
      </c>
      <c r="H971" t="s">
        <v>17</v>
      </c>
      <c r="I971" s="7">
        <v>0.18</v>
      </c>
      <c r="J971" t="s">
        <v>18</v>
      </c>
      <c r="K971" t="s">
        <v>19</v>
      </c>
    </row>
    <row r="972" spans="1:11" x14ac:dyDescent="0.25">
      <c r="A972" s="1" t="s">
        <v>71</v>
      </c>
      <c r="B972" t="s">
        <v>33</v>
      </c>
      <c r="C972" t="s">
        <v>25</v>
      </c>
      <c r="D972" s="6">
        <f t="shared" si="15"/>
        <v>98934.497199999998</v>
      </c>
      <c r="E972" s="5">
        <v>38</v>
      </c>
      <c r="F972" t="s">
        <v>26</v>
      </c>
      <c r="G972" s="6">
        <v>3381.22</v>
      </c>
      <c r="H972" t="s">
        <v>17</v>
      </c>
      <c r="I972" s="7">
        <v>0.23</v>
      </c>
      <c r="J972" t="s">
        <v>18</v>
      </c>
      <c r="K972" t="s">
        <v>22</v>
      </c>
    </row>
    <row r="973" spans="1:11" x14ac:dyDescent="0.25">
      <c r="A973" s="1" t="s">
        <v>62</v>
      </c>
      <c r="B973" t="s">
        <v>24</v>
      </c>
      <c r="C973" t="s">
        <v>15</v>
      </c>
      <c r="D973" s="6">
        <f t="shared" si="15"/>
        <v>169899.58439999999</v>
      </c>
      <c r="E973" s="5">
        <v>42</v>
      </c>
      <c r="F973" t="s">
        <v>35</v>
      </c>
      <c r="G973" s="6">
        <v>5186.1899999999996</v>
      </c>
      <c r="H973" t="s">
        <v>17</v>
      </c>
      <c r="I973" s="7">
        <v>0.22</v>
      </c>
      <c r="J973" t="s">
        <v>31</v>
      </c>
      <c r="K973" t="s">
        <v>19</v>
      </c>
    </row>
    <row r="974" spans="1:11" x14ac:dyDescent="0.25">
      <c r="A974" s="1" t="s">
        <v>72</v>
      </c>
      <c r="B974" t="s">
        <v>24</v>
      </c>
      <c r="C974" t="s">
        <v>15</v>
      </c>
      <c r="D974" s="6">
        <f t="shared" si="15"/>
        <v>171394.88939999999</v>
      </c>
      <c r="E974" s="5">
        <v>42</v>
      </c>
      <c r="F974" t="s">
        <v>16</v>
      </c>
      <c r="G974" s="6">
        <v>4387.99</v>
      </c>
      <c r="H974" t="s">
        <v>30</v>
      </c>
      <c r="I974" s="7">
        <v>7.0000000000000007E-2</v>
      </c>
      <c r="J974" t="s">
        <v>31</v>
      </c>
      <c r="K974" t="s">
        <v>22</v>
      </c>
    </row>
    <row r="975" spans="1:11" x14ac:dyDescent="0.25">
      <c r="A975" s="1" t="s">
        <v>71</v>
      </c>
      <c r="B975" t="s">
        <v>33</v>
      </c>
      <c r="C975" t="s">
        <v>21</v>
      </c>
      <c r="D975" s="6">
        <f t="shared" si="15"/>
        <v>41080.470199999996</v>
      </c>
      <c r="E975" s="5">
        <v>23</v>
      </c>
      <c r="F975" t="s">
        <v>29</v>
      </c>
      <c r="G975" s="6">
        <v>2319.62</v>
      </c>
      <c r="H975" t="s">
        <v>17</v>
      </c>
      <c r="I975" s="7">
        <v>0.23</v>
      </c>
      <c r="J975" t="s">
        <v>27</v>
      </c>
      <c r="K975" t="s">
        <v>22</v>
      </c>
    </row>
    <row r="976" spans="1:11" x14ac:dyDescent="0.25">
      <c r="A976" s="1" t="s">
        <v>66</v>
      </c>
      <c r="B976" t="s">
        <v>24</v>
      </c>
      <c r="C976" t="s">
        <v>21</v>
      </c>
      <c r="D976" s="6">
        <f t="shared" si="15"/>
        <v>174376.80000000002</v>
      </c>
      <c r="E976" s="5">
        <v>45</v>
      </c>
      <c r="F976" t="s">
        <v>16</v>
      </c>
      <c r="G976" s="6">
        <v>5166.72</v>
      </c>
      <c r="H976" t="s">
        <v>17</v>
      </c>
      <c r="I976" s="7">
        <v>0.25</v>
      </c>
      <c r="J976" t="s">
        <v>31</v>
      </c>
      <c r="K976" t="s">
        <v>19</v>
      </c>
    </row>
    <row r="977" spans="1:11" x14ac:dyDescent="0.25">
      <c r="A977" s="1" t="s">
        <v>71</v>
      </c>
      <c r="B977" t="s">
        <v>38</v>
      </c>
      <c r="C977" t="s">
        <v>21</v>
      </c>
      <c r="D977" s="6">
        <f t="shared" si="15"/>
        <v>174224.03400000001</v>
      </c>
      <c r="E977" s="5">
        <v>46</v>
      </c>
      <c r="F977" t="s">
        <v>29</v>
      </c>
      <c r="G977" s="6">
        <v>4675.8999999999996</v>
      </c>
      <c r="H977" t="s">
        <v>30</v>
      </c>
      <c r="I977" s="7">
        <v>0.19</v>
      </c>
      <c r="J977" t="s">
        <v>18</v>
      </c>
      <c r="K977" t="s">
        <v>22</v>
      </c>
    </row>
    <row r="978" spans="1:11" x14ac:dyDescent="0.25">
      <c r="A978" s="1" t="s">
        <v>71</v>
      </c>
      <c r="B978" t="s">
        <v>42</v>
      </c>
      <c r="C978" t="s">
        <v>34</v>
      </c>
      <c r="D978" s="6">
        <f t="shared" si="15"/>
        <v>183677.52</v>
      </c>
      <c r="E978" s="5">
        <v>34</v>
      </c>
      <c r="F978" t="s">
        <v>16</v>
      </c>
      <c r="G978" s="6">
        <v>5402.28</v>
      </c>
      <c r="H978" t="s">
        <v>17</v>
      </c>
      <c r="I978" s="7">
        <v>0</v>
      </c>
      <c r="J978" t="s">
        <v>18</v>
      </c>
      <c r="K978" t="s">
        <v>22</v>
      </c>
    </row>
    <row r="979" spans="1:11" x14ac:dyDescent="0.25">
      <c r="A979" s="1" t="s">
        <v>71</v>
      </c>
      <c r="B979" t="s">
        <v>38</v>
      </c>
      <c r="C979" t="s">
        <v>21</v>
      </c>
      <c r="D979" s="6">
        <f t="shared" si="15"/>
        <v>16762.751999999997</v>
      </c>
      <c r="E979" s="5">
        <v>40</v>
      </c>
      <c r="F979" t="s">
        <v>26</v>
      </c>
      <c r="G979" s="6">
        <v>436.53</v>
      </c>
      <c r="H979" t="s">
        <v>30</v>
      </c>
      <c r="I979" s="7">
        <v>0.04</v>
      </c>
      <c r="J979" t="s">
        <v>18</v>
      </c>
      <c r="K979" t="s">
        <v>22</v>
      </c>
    </row>
    <row r="980" spans="1:11" x14ac:dyDescent="0.25">
      <c r="A980" s="1" t="s">
        <v>65</v>
      </c>
      <c r="B980" t="s">
        <v>24</v>
      </c>
      <c r="C980" t="s">
        <v>21</v>
      </c>
      <c r="D980" s="6">
        <f t="shared" si="15"/>
        <v>175904.78400000001</v>
      </c>
      <c r="E980" s="5">
        <v>45</v>
      </c>
      <c r="F980" t="s">
        <v>26</v>
      </c>
      <c r="G980" s="6">
        <v>4825.92</v>
      </c>
      <c r="H980" t="s">
        <v>17</v>
      </c>
      <c r="I980" s="7">
        <v>0.19</v>
      </c>
      <c r="J980" t="s">
        <v>27</v>
      </c>
      <c r="K980" t="s">
        <v>22</v>
      </c>
    </row>
    <row r="981" spans="1:11" x14ac:dyDescent="0.25">
      <c r="A981" s="1" t="s">
        <v>71</v>
      </c>
      <c r="B981" t="s">
        <v>14</v>
      </c>
      <c r="C981" t="s">
        <v>34</v>
      </c>
      <c r="D981" s="6">
        <f t="shared" si="15"/>
        <v>134240.60099999962</v>
      </c>
      <c r="E981" s="5">
        <v>47</v>
      </c>
      <c r="F981" t="s">
        <v>35</v>
      </c>
      <c r="G981" s="6">
        <v>3483.1499999999901</v>
      </c>
      <c r="H981" t="s">
        <v>17</v>
      </c>
      <c r="I981" s="7">
        <v>0.18</v>
      </c>
      <c r="J981" t="s">
        <v>18</v>
      </c>
      <c r="K981" t="s">
        <v>19</v>
      </c>
    </row>
    <row r="982" spans="1:11" x14ac:dyDescent="0.25">
      <c r="A982" s="1" t="s">
        <v>71</v>
      </c>
      <c r="B982" t="s">
        <v>14</v>
      </c>
      <c r="C982" t="s">
        <v>21</v>
      </c>
      <c r="D982" s="6">
        <f t="shared" si="15"/>
        <v>30717.896299999884</v>
      </c>
      <c r="E982" s="5">
        <v>13</v>
      </c>
      <c r="F982" t="s">
        <v>35</v>
      </c>
      <c r="G982" s="6">
        <v>2596.6099999999901</v>
      </c>
      <c r="H982" t="s">
        <v>17</v>
      </c>
      <c r="I982" s="7">
        <v>0.09</v>
      </c>
      <c r="J982" t="s">
        <v>27</v>
      </c>
      <c r="K982" t="s">
        <v>22</v>
      </c>
    </row>
    <row r="983" spans="1:11" x14ac:dyDescent="0.25">
      <c r="A983" s="1" t="s">
        <v>71</v>
      </c>
      <c r="B983" t="s">
        <v>38</v>
      </c>
      <c r="C983" t="s">
        <v>15</v>
      </c>
      <c r="D983" s="6">
        <f t="shared" si="15"/>
        <v>127406.36159999999</v>
      </c>
      <c r="E983" s="5">
        <v>42</v>
      </c>
      <c r="F983" t="s">
        <v>35</v>
      </c>
      <c r="G983" s="6">
        <v>3159.88</v>
      </c>
      <c r="H983" t="s">
        <v>30</v>
      </c>
      <c r="I983" s="7">
        <v>0.04</v>
      </c>
      <c r="J983" t="s">
        <v>18</v>
      </c>
      <c r="K983" t="s">
        <v>22</v>
      </c>
    </row>
    <row r="984" spans="1:11" x14ac:dyDescent="0.25">
      <c r="A984" s="1" t="s">
        <v>71</v>
      </c>
      <c r="B984" t="s">
        <v>38</v>
      </c>
      <c r="C984" t="s">
        <v>34</v>
      </c>
      <c r="D984" s="6">
        <f t="shared" si="15"/>
        <v>110145.7504</v>
      </c>
      <c r="E984" s="5">
        <v>28</v>
      </c>
      <c r="F984" t="s">
        <v>35</v>
      </c>
      <c r="G984" s="6">
        <v>4055.44</v>
      </c>
      <c r="H984" t="s">
        <v>30</v>
      </c>
      <c r="I984" s="7">
        <v>0.03</v>
      </c>
      <c r="J984" t="s">
        <v>27</v>
      </c>
      <c r="K984" t="s">
        <v>22</v>
      </c>
    </row>
    <row r="985" spans="1:11" x14ac:dyDescent="0.25">
      <c r="A985" s="1" t="s">
        <v>69</v>
      </c>
      <c r="B985" t="s">
        <v>24</v>
      </c>
      <c r="C985" t="s">
        <v>25</v>
      </c>
      <c r="D985" s="6">
        <f t="shared" si="15"/>
        <v>177072.13440000001</v>
      </c>
      <c r="E985" s="5">
        <v>48</v>
      </c>
      <c r="F985" t="s">
        <v>35</v>
      </c>
      <c r="G985" s="6">
        <v>4391.67</v>
      </c>
      <c r="H985" t="s">
        <v>17</v>
      </c>
      <c r="I985" s="7">
        <v>0.16</v>
      </c>
      <c r="J985" t="s">
        <v>31</v>
      </c>
      <c r="K985" t="s">
        <v>22</v>
      </c>
    </row>
    <row r="986" spans="1:11" x14ac:dyDescent="0.25">
      <c r="A986" s="1" t="s">
        <v>71</v>
      </c>
      <c r="B986" t="s">
        <v>38</v>
      </c>
      <c r="C986" t="s">
        <v>25</v>
      </c>
      <c r="D986" s="6">
        <f t="shared" si="15"/>
        <v>48155.366400000006</v>
      </c>
      <c r="E986" s="5">
        <v>12</v>
      </c>
      <c r="F986" t="s">
        <v>35</v>
      </c>
      <c r="G986" s="6">
        <v>5079.68</v>
      </c>
      <c r="H986" t="s">
        <v>30</v>
      </c>
      <c r="I986" s="7">
        <v>0.21</v>
      </c>
      <c r="J986" t="s">
        <v>31</v>
      </c>
      <c r="K986" t="s">
        <v>22</v>
      </c>
    </row>
    <row r="987" spans="1:11" x14ac:dyDescent="0.25">
      <c r="A987" s="1" t="s">
        <v>71</v>
      </c>
      <c r="B987" t="s">
        <v>14</v>
      </c>
      <c r="C987" t="s">
        <v>15</v>
      </c>
      <c r="D987" s="6">
        <f t="shared" si="15"/>
        <v>24999.1</v>
      </c>
      <c r="E987" s="5">
        <v>25</v>
      </c>
      <c r="F987" t="s">
        <v>29</v>
      </c>
      <c r="G987" s="6">
        <v>1408.4</v>
      </c>
      <c r="H987" t="s">
        <v>17</v>
      </c>
      <c r="I987" s="7">
        <v>0.28999999999999998</v>
      </c>
      <c r="J987" t="s">
        <v>27</v>
      </c>
      <c r="K987" t="s">
        <v>22</v>
      </c>
    </row>
    <row r="988" spans="1:11" x14ac:dyDescent="0.25">
      <c r="A988" s="1" t="s">
        <v>63</v>
      </c>
      <c r="B988" t="s">
        <v>24</v>
      </c>
      <c r="C988" t="s">
        <v>25</v>
      </c>
      <c r="D988" s="6">
        <f t="shared" si="15"/>
        <v>180339.6972</v>
      </c>
      <c r="E988" s="5">
        <v>46</v>
      </c>
      <c r="F988" t="s">
        <v>16</v>
      </c>
      <c r="G988" s="6">
        <v>5026.1899999999996</v>
      </c>
      <c r="H988" t="s">
        <v>17</v>
      </c>
      <c r="I988" s="7">
        <v>0.22</v>
      </c>
      <c r="J988" t="s">
        <v>27</v>
      </c>
      <c r="K988" t="s">
        <v>22</v>
      </c>
    </row>
    <row r="989" spans="1:11" x14ac:dyDescent="0.25">
      <c r="A989" s="1" t="s">
        <v>71</v>
      </c>
      <c r="B989" t="s">
        <v>42</v>
      </c>
      <c r="C989" t="s">
        <v>25</v>
      </c>
      <c r="D989" s="6">
        <f t="shared" si="15"/>
        <v>54771.443999999996</v>
      </c>
      <c r="E989" s="5">
        <v>28</v>
      </c>
      <c r="F989" t="s">
        <v>16</v>
      </c>
      <c r="G989" s="6">
        <v>2173.4699999999998</v>
      </c>
      <c r="H989" t="s">
        <v>17</v>
      </c>
      <c r="I989" s="7">
        <v>0.1</v>
      </c>
      <c r="J989" t="s">
        <v>18</v>
      </c>
      <c r="K989" t="s">
        <v>22</v>
      </c>
    </row>
    <row r="990" spans="1:11" x14ac:dyDescent="0.25">
      <c r="A990" s="1" t="s">
        <v>71</v>
      </c>
      <c r="B990" t="s">
        <v>33</v>
      </c>
      <c r="C990" t="s">
        <v>25</v>
      </c>
      <c r="D990" s="6">
        <f t="shared" si="15"/>
        <v>26379.252899999999</v>
      </c>
      <c r="E990" s="5">
        <v>33</v>
      </c>
      <c r="F990" t="s">
        <v>26</v>
      </c>
      <c r="G990" s="6">
        <v>878.43</v>
      </c>
      <c r="H990" t="s">
        <v>30</v>
      </c>
      <c r="I990" s="7">
        <v>0.09</v>
      </c>
      <c r="J990" t="s">
        <v>18</v>
      </c>
      <c r="K990" t="s">
        <v>22</v>
      </c>
    </row>
    <row r="991" spans="1:11" x14ac:dyDescent="0.25">
      <c r="A991" s="1" t="s">
        <v>71</v>
      </c>
      <c r="B991" t="s">
        <v>14</v>
      </c>
      <c r="C991" t="s">
        <v>21</v>
      </c>
      <c r="D991" s="6">
        <f t="shared" si="15"/>
        <v>21540.171599999998</v>
      </c>
      <c r="E991" s="5">
        <v>46</v>
      </c>
      <c r="F991" t="s">
        <v>16</v>
      </c>
      <c r="G991" s="6">
        <v>526.14</v>
      </c>
      <c r="H991" t="s">
        <v>17</v>
      </c>
      <c r="I991" s="7">
        <v>0.11</v>
      </c>
      <c r="J991" t="s">
        <v>31</v>
      </c>
      <c r="K991" t="s">
        <v>19</v>
      </c>
    </row>
    <row r="992" spans="1:11" x14ac:dyDescent="0.25">
      <c r="A992" s="1" t="s">
        <v>71</v>
      </c>
      <c r="B992" t="s">
        <v>33</v>
      </c>
      <c r="C992" t="s">
        <v>21</v>
      </c>
      <c r="D992" s="6">
        <f t="shared" si="15"/>
        <v>27411.091199999999</v>
      </c>
      <c r="E992" s="5">
        <v>18</v>
      </c>
      <c r="F992" t="s">
        <v>26</v>
      </c>
      <c r="G992" s="6">
        <v>1586.29</v>
      </c>
      <c r="H992" t="s">
        <v>30</v>
      </c>
      <c r="I992" s="7">
        <v>0.04</v>
      </c>
      <c r="J992" t="s">
        <v>31</v>
      </c>
      <c r="K992" t="s">
        <v>19</v>
      </c>
    </row>
    <row r="993" spans="1:13" x14ac:dyDescent="0.25">
      <c r="A993" s="1" t="s">
        <v>70</v>
      </c>
      <c r="B993" t="s">
        <v>24</v>
      </c>
      <c r="C993" t="s">
        <v>15</v>
      </c>
      <c r="D993" s="6">
        <f t="shared" si="15"/>
        <v>188837.88310000001</v>
      </c>
      <c r="E993" s="5">
        <v>47</v>
      </c>
      <c r="F993" t="s">
        <v>26</v>
      </c>
      <c r="G993" s="6">
        <v>4142.09</v>
      </c>
      <c r="H993" t="s">
        <v>17</v>
      </c>
      <c r="I993" s="7">
        <v>0.03</v>
      </c>
      <c r="J993" t="s">
        <v>31</v>
      </c>
      <c r="K993" t="s">
        <v>22</v>
      </c>
    </row>
    <row r="994" spans="1:13" x14ac:dyDescent="0.25">
      <c r="A994" s="1" t="s">
        <v>71</v>
      </c>
      <c r="B994" t="s">
        <v>14</v>
      </c>
      <c r="C994" t="s">
        <v>34</v>
      </c>
      <c r="D994" s="6">
        <f t="shared" si="15"/>
        <v>6325.44</v>
      </c>
      <c r="E994" s="5">
        <v>4</v>
      </c>
      <c r="F994" t="s">
        <v>26</v>
      </c>
      <c r="G994" s="6">
        <v>1647.25</v>
      </c>
      <c r="H994" t="s">
        <v>17</v>
      </c>
      <c r="I994" s="7">
        <v>0.04</v>
      </c>
      <c r="J994" t="s">
        <v>31</v>
      </c>
      <c r="K994" t="s">
        <v>22</v>
      </c>
    </row>
    <row r="995" spans="1:13" x14ac:dyDescent="0.25">
      <c r="A995" s="1" t="s">
        <v>71</v>
      </c>
      <c r="B995" t="s">
        <v>42</v>
      </c>
      <c r="C995" t="s">
        <v>21</v>
      </c>
      <c r="D995" s="6">
        <f t="shared" si="15"/>
        <v>166617.91649999999</v>
      </c>
      <c r="E995" s="5">
        <v>35</v>
      </c>
      <c r="F995" t="s">
        <v>29</v>
      </c>
      <c r="G995" s="6">
        <v>5118.83</v>
      </c>
      <c r="H995" t="s">
        <v>17</v>
      </c>
      <c r="I995" s="7">
        <v>7.0000000000000007E-2</v>
      </c>
      <c r="J995" t="s">
        <v>31</v>
      </c>
      <c r="K995" t="s">
        <v>22</v>
      </c>
    </row>
    <row r="996" spans="1:13" x14ac:dyDescent="0.25">
      <c r="A996" s="1" t="s">
        <v>71</v>
      </c>
      <c r="B996" t="s">
        <v>14</v>
      </c>
      <c r="C996" t="s">
        <v>15</v>
      </c>
      <c r="D996" s="6">
        <f t="shared" si="15"/>
        <v>6109.9972000000007</v>
      </c>
      <c r="E996" s="5">
        <v>19</v>
      </c>
      <c r="F996" t="s">
        <v>16</v>
      </c>
      <c r="G996" s="6">
        <v>423.13</v>
      </c>
      <c r="H996" t="s">
        <v>30</v>
      </c>
      <c r="I996" s="7">
        <v>0.24</v>
      </c>
      <c r="J996" t="s">
        <v>31</v>
      </c>
      <c r="K996" t="s">
        <v>19</v>
      </c>
    </row>
    <row r="997" spans="1:13" x14ac:dyDescent="0.25">
      <c r="A997" s="1" t="s">
        <v>66</v>
      </c>
      <c r="B997" t="s">
        <v>24</v>
      </c>
      <c r="C997" t="s">
        <v>34</v>
      </c>
      <c r="D997" s="6">
        <f t="shared" si="15"/>
        <v>188867.85030000002</v>
      </c>
      <c r="E997" s="5">
        <v>47</v>
      </c>
      <c r="F997" t="s">
        <v>35</v>
      </c>
      <c r="G997" s="6">
        <v>4320.93</v>
      </c>
      <c r="H997" t="s">
        <v>30</v>
      </c>
      <c r="I997" s="7">
        <v>7.0000000000000007E-2</v>
      </c>
      <c r="J997" t="s">
        <v>18</v>
      </c>
      <c r="K997" t="s">
        <v>19</v>
      </c>
    </row>
    <row r="998" spans="1:13" x14ac:dyDescent="0.25">
      <c r="A998" s="1" t="s">
        <v>69</v>
      </c>
      <c r="B998" t="s">
        <v>24</v>
      </c>
      <c r="C998" t="s">
        <v>34</v>
      </c>
      <c r="D998" s="6">
        <f t="shared" si="15"/>
        <v>191636.20699999999</v>
      </c>
      <c r="E998" s="5">
        <v>46</v>
      </c>
      <c r="F998" t="s">
        <v>29</v>
      </c>
      <c r="G998" s="6">
        <v>4294.8500000000004</v>
      </c>
      <c r="H998" t="s">
        <v>17</v>
      </c>
      <c r="I998" s="7">
        <v>0.03</v>
      </c>
      <c r="J998" t="s">
        <v>27</v>
      </c>
      <c r="K998" t="s">
        <v>22</v>
      </c>
    </row>
    <row r="999" spans="1:13" x14ac:dyDescent="0.25">
      <c r="A999" s="1" t="s">
        <v>74</v>
      </c>
      <c r="B999" t="s">
        <v>42</v>
      </c>
      <c r="C999" t="s">
        <v>21</v>
      </c>
      <c r="D999" s="6">
        <f t="shared" si="15"/>
        <v>29475.9624</v>
      </c>
      <c r="E999" s="5">
        <v>24</v>
      </c>
      <c r="F999" t="s">
        <v>35</v>
      </c>
      <c r="G999" s="6">
        <v>1729.81</v>
      </c>
      <c r="H999" t="s">
        <v>30</v>
      </c>
      <c r="I999" s="7">
        <v>0.28999999999999998</v>
      </c>
      <c r="J999" t="s">
        <v>27</v>
      </c>
      <c r="K999" t="s">
        <v>19</v>
      </c>
    </row>
    <row r="1000" spans="1:13" x14ac:dyDescent="0.25">
      <c r="A1000" s="1" t="s">
        <v>72</v>
      </c>
      <c r="B1000" t="s">
        <v>24</v>
      </c>
      <c r="C1000" t="s">
        <v>34</v>
      </c>
      <c r="D1000" s="6">
        <f t="shared" si="15"/>
        <v>234866.62340000001</v>
      </c>
      <c r="E1000" s="5">
        <v>47</v>
      </c>
      <c r="F1000" t="s">
        <v>26</v>
      </c>
      <c r="G1000" s="6">
        <v>5316.13</v>
      </c>
      <c r="H1000" t="s">
        <v>30</v>
      </c>
      <c r="I1000" s="7">
        <v>0.06</v>
      </c>
      <c r="J1000" t="s">
        <v>27</v>
      </c>
      <c r="K1000" t="s">
        <v>19</v>
      </c>
    </row>
    <row r="1001" spans="1:13" x14ac:dyDescent="0.25">
      <c r="A1001" s="1" t="s">
        <v>74</v>
      </c>
      <c r="B1001" t="s">
        <v>14</v>
      </c>
      <c r="C1001" t="s">
        <v>25</v>
      </c>
      <c r="D1001" s="6">
        <f t="shared" si="15"/>
        <v>4041.9807999999998</v>
      </c>
      <c r="E1001" s="5">
        <v>11</v>
      </c>
      <c r="F1001" t="s">
        <v>29</v>
      </c>
      <c r="G1001" s="6">
        <v>503.36</v>
      </c>
      <c r="H1001" t="s">
        <v>17</v>
      </c>
      <c r="I1001" s="7">
        <v>0.27</v>
      </c>
      <c r="J1001" t="s">
        <v>27</v>
      </c>
      <c r="K1001" t="s">
        <v>19</v>
      </c>
    </row>
    <row r="1002" spans="1:13" x14ac:dyDescent="0.25">
      <c r="D1002" s="10">
        <f>SUM(D19:D1000)</f>
        <v>58513925.713399917</v>
      </c>
    </row>
    <row r="1003" spans="1:13" x14ac:dyDescent="0.25">
      <c r="D1003" s="15">
        <f>SUM(D2:D986)</f>
        <v>58333952.666099921</v>
      </c>
      <c r="M1003" s="15"/>
    </row>
    <row r="1004" spans="1:13" x14ac:dyDescent="0.25">
      <c r="D1004" s="15">
        <f>SUM(D2:D986)</f>
        <v>58333952.666099921</v>
      </c>
    </row>
    <row r="1005" spans="1:13" x14ac:dyDescent="0.25">
      <c r="D1005" s="15">
        <f>SUM(D2:D1003)</f>
        <v>176534051.66319978</v>
      </c>
    </row>
    <row r="1006" spans="1:13" x14ac:dyDescent="0.25">
      <c r="D1006" s="15"/>
    </row>
  </sheetData>
  <sortState xmlns:xlrd2="http://schemas.microsoft.com/office/spreadsheetml/2017/richdata2" ref="A19:K1002">
    <sortCondition ref="D2:D10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94C6-7887-4D00-9060-A0660FB7AAEF}">
  <dimension ref="A1:K23"/>
  <sheetViews>
    <sheetView topLeftCell="E2" zoomScaleNormal="100" workbookViewId="0">
      <selection activeCell="A2" sqref="A2"/>
    </sheetView>
  </sheetViews>
  <sheetFormatPr defaultRowHeight="15" x14ac:dyDescent="0.25"/>
  <cols>
    <col min="1" max="1" width="18.28515625" bestFit="1" customWidth="1"/>
    <col min="2" max="2" width="18.140625" bestFit="1" customWidth="1"/>
    <col min="3" max="3" width="19.7109375" bestFit="1" customWidth="1"/>
    <col min="4" max="4" width="18.5703125" bestFit="1" customWidth="1"/>
    <col min="5" max="5" width="20" bestFit="1" customWidth="1"/>
    <col min="6" max="6" width="19.7109375" bestFit="1" customWidth="1"/>
    <col min="7" max="7" width="15.7109375" bestFit="1" customWidth="1"/>
    <col min="8" max="8" width="18.28515625" bestFit="1" customWidth="1"/>
    <col min="9" max="9" width="19.85546875" bestFit="1" customWidth="1"/>
    <col min="10" max="10" width="17.140625" bestFit="1" customWidth="1"/>
    <col min="11" max="11" width="13.5703125" bestFit="1" customWidth="1"/>
    <col min="13" max="13" width="16.28515625" bestFit="1" customWidth="1"/>
    <col min="15" max="15" width="19" bestFit="1" customWidth="1"/>
  </cols>
  <sheetData>
    <row r="1" spans="1:11" x14ac:dyDescent="0.25">
      <c r="A1" s="14">
        <f ca="1">TODAY()</f>
        <v>46026</v>
      </c>
    </row>
    <row r="2" spans="1:11" x14ac:dyDescent="0.25">
      <c r="A2" t="s">
        <v>80</v>
      </c>
      <c r="B2" t="s">
        <v>59</v>
      </c>
      <c r="C2" t="s">
        <v>79</v>
      </c>
    </row>
    <row r="3" spans="1:11" x14ac:dyDescent="0.25">
      <c r="A3" s="13">
        <v>59686173.283699922</v>
      </c>
      <c r="B3" s="5">
        <v>25355</v>
      </c>
      <c r="C3" s="3">
        <v>0.15238999999999991</v>
      </c>
    </row>
    <row r="4" spans="1:11" x14ac:dyDescent="0.25">
      <c r="J4" s="2" t="s">
        <v>86</v>
      </c>
      <c r="K4" t="s">
        <v>58</v>
      </c>
    </row>
    <row r="5" spans="1:11" x14ac:dyDescent="0.25">
      <c r="A5" s="2" t="s">
        <v>76</v>
      </c>
      <c r="B5" t="s">
        <v>57</v>
      </c>
      <c r="D5" s="2" t="s">
        <v>3</v>
      </c>
      <c r="E5" t="s">
        <v>57</v>
      </c>
      <c r="J5" s="4" t="s">
        <v>67</v>
      </c>
      <c r="K5" s="13">
        <v>6375602.7684999993</v>
      </c>
    </row>
    <row r="6" spans="1:11" x14ac:dyDescent="0.25">
      <c r="H6" s="11"/>
      <c r="I6" s="11"/>
      <c r="J6" s="4" t="s">
        <v>62</v>
      </c>
      <c r="K6" s="13">
        <v>4662249.4973999988</v>
      </c>
    </row>
    <row r="7" spans="1:11" x14ac:dyDescent="0.25">
      <c r="A7" s="2" t="s">
        <v>3</v>
      </c>
      <c r="B7" t="s">
        <v>81</v>
      </c>
      <c r="C7" s="3"/>
      <c r="D7" s="2" t="s">
        <v>76</v>
      </c>
      <c r="E7" t="s">
        <v>58</v>
      </c>
      <c r="F7" t="s">
        <v>79</v>
      </c>
      <c r="H7" s="4"/>
      <c r="I7" s="13"/>
      <c r="J7" s="4" t="s">
        <v>66</v>
      </c>
      <c r="K7" s="13">
        <v>5111669.9625999983</v>
      </c>
    </row>
    <row r="8" spans="1:11" x14ac:dyDescent="0.25">
      <c r="A8" s="4" t="s">
        <v>25</v>
      </c>
      <c r="B8" s="13">
        <v>13894660.279499993</v>
      </c>
      <c r="C8" s="13"/>
      <c r="D8" s="16" t="s">
        <v>29</v>
      </c>
      <c r="E8" s="13">
        <v>16360844.624699995</v>
      </c>
      <c r="F8" s="3">
        <v>0.16022388059701501</v>
      </c>
      <c r="H8" s="4"/>
      <c r="I8" s="13"/>
      <c r="J8" s="4" t="s">
        <v>63</v>
      </c>
      <c r="K8" s="13">
        <v>4518199.6369999982</v>
      </c>
    </row>
    <row r="9" spans="1:11" x14ac:dyDescent="0.25">
      <c r="A9" s="4" t="s">
        <v>21</v>
      </c>
      <c r="B9" s="13">
        <v>15018888.597600004</v>
      </c>
      <c r="D9" s="16" t="s">
        <v>16</v>
      </c>
      <c r="E9" s="13">
        <v>15363777.142799992</v>
      </c>
      <c r="F9" s="3">
        <v>0.15811538461538457</v>
      </c>
      <c r="H9" s="4"/>
      <c r="I9" s="13"/>
      <c r="J9" s="4" t="s">
        <v>72</v>
      </c>
      <c r="K9" s="13">
        <v>4878261.7866999973</v>
      </c>
    </row>
    <row r="10" spans="1:11" x14ac:dyDescent="0.25">
      <c r="A10" s="4" t="s">
        <v>34</v>
      </c>
      <c r="B10" s="13">
        <v>15202282.224599993</v>
      </c>
      <c r="D10" s="16" t="s">
        <v>35</v>
      </c>
      <c r="E10" s="13">
        <v>15153225.28539999</v>
      </c>
      <c r="F10" s="3">
        <v>0.13650406504065041</v>
      </c>
      <c r="H10" s="4"/>
      <c r="I10" s="13"/>
      <c r="J10" s="4" t="s">
        <v>68</v>
      </c>
      <c r="K10" s="13">
        <v>5296111.9988999981</v>
      </c>
    </row>
    <row r="11" spans="1:11" x14ac:dyDescent="0.25">
      <c r="A11" s="4" t="s">
        <v>15</v>
      </c>
      <c r="B11" s="13">
        <v>15570342.181999996</v>
      </c>
      <c r="D11" s="16" t="s">
        <v>26</v>
      </c>
      <c r="E11" s="13">
        <v>12808326.230800001</v>
      </c>
      <c r="F11" s="3">
        <v>0.15380530973451337</v>
      </c>
      <c r="J11" s="4" t="s">
        <v>73</v>
      </c>
      <c r="K11" s="13">
        <v>4003580.3107999987</v>
      </c>
    </row>
    <row r="12" spans="1:11" x14ac:dyDescent="0.25">
      <c r="E12" s="12"/>
      <c r="J12" s="4" t="s">
        <v>65</v>
      </c>
      <c r="K12" s="13">
        <v>5724989.7414999967</v>
      </c>
    </row>
    <row r="13" spans="1:11" x14ac:dyDescent="0.25">
      <c r="J13" s="4" t="s">
        <v>64</v>
      </c>
      <c r="K13" s="13">
        <v>3835193.0909999982</v>
      </c>
    </row>
    <row r="14" spans="1:11" x14ac:dyDescent="0.25">
      <c r="J14" s="4" t="s">
        <v>69</v>
      </c>
      <c r="K14" s="13">
        <v>5678169.618999999</v>
      </c>
    </row>
    <row r="15" spans="1:11" x14ac:dyDescent="0.25">
      <c r="D15" s="2" t="s">
        <v>3</v>
      </c>
      <c r="E15" t="s">
        <v>57</v>
      </c>
      <c r="G15" s="2" t="s">
        <v>3</v>
      </c>
      <c r="H15" t="s">
        <v>57</v>
      </c>
      <c r="J15" s="4" t="s">
        <v>70</v>
      </c>
      <c r="K15" s="13">
        <v>4157584.6568999966</v>
      </c>
    </row>
    <row r="16" spans="1:11" x14ac:dyDescent="0.25">
      <c r="J16" s="4" t="s">
        <v>71</v>
      </c>
      <c r="K16" s="13">
        <v>5398212.0219999999</v>
      </c>
    </row>
    <row r="17" spans="1:11" x14ac:dyDescent="0.25">
      <c r="A17" s="2" t="s">
        <v>54</v>
      </c>
      <c r="B17" t="s">
        <v>58</v>
      </c>
      <c r="D17" s="2" t="s">
        <v>84</v>
      </c>
      <c r="E17" t="s">
        <v>83</v>
      </c>
      <c r="G17" s="2" t="s">
        <v>78</v>
      </c>
      <c r="H17" t="s">
        <v>80</v>
      </c>
      <c r="J17" s="4" t="s">
        <v>74</v>
      </c>
      <c r="K17" s="13">
        <v>46348.191399999996</v>
      </c>
    </row>
    <row r="18" spans="1:11" x14ac:dyDescent="0.25">
      <c r="A18" s="4" t="s">
        <v>24</v>
      </c>
      <c r="B18" s="13">
        <v>13674409.2019</v>
      </c>
      <c r="D18" s="4" t="s">
        <v>31</v>
      </c>
      <c r="E18">
        <v>345</v>
      </c>
      <c r="G18" s="4" t="s">
        <v>19</v>
      </c>
      <c r="H18" s="13">
        <v>30296019.585400034</v>
      </c>
    </row>
    <row r="19" spans="1:11" x14ac:dyDescent="0.25">
      <c r="A19" s="4" t="s">
        <v>38</v>
      </c>
      <c r="B19" s="13">
        <v>12938723.959099999</v>
      </c>
      <c r="D19" s="4" t="s">
        <v>27</v>
      </c>
      <c r="E19">
        <v>342</v>
      </c>
      <c r="G19" s="4" t="s">
        <v>22</v>
      </c>
      <c r="H19" s="13">
        <v>29390153.698300004</v>
      </c>
    </row>
    <row r="20" spans="1:11" x14ac:dyDescent="0.25">
      <c r="A20" s="4" t="s">
        <v>14</v>
      </c>
      <c r="B20" s="13">
        <v>11768703.708699992</v>
      </c>
      <c r="D20" s="4" t="s">
        <v>18</v>
      </c>
      <c r="E20">
        <v>313</v>
      </c>
    </row>
    <row r="21" spans="1:11" x14ac:dyDescent="0.25">
      <c r="A21" s="4" t="s">
        <v>42</v>
      </c>
      <c r="B21" s="13">
        <v>11476645.563299989</v>
      </c>
      <c r="J21" s="2" t="s">
        <v>82</v>
      </c>
      <c r="K21" t="s">
        <v>85</v>
      </c>
    </row>
    <row r="22" spans="1:11" x14ac:dyDescent="0.25">
      <c r="A22" s="4" t="s">
        <v>33</v>
      </c>
      <c r="B22" s="13">
        <v>9827690.8507000003</v>
      </c>
      <c r="J22" s="4" t="s">
        <v>30</v>
      </c>
      <c r="K22" s="5">
        <v>13184</v>
      </c>
    </row>
    <row r="23" spans="1:11" x14ac:dyDescent="0.25">
      <c r="J23" s="4" t="s">
        <v>17</v>
      </c>
      <c r="K23" s="5">
        <v>12171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D0EA-B6D7-4323-8F20-A98E42FB0CC3}">
  <dimension ref="A1"/>
  <sheetViews>
    <sheetView showGridLines="0" showRowColHeaders="0" view="pageBreakPreview" zoomScale="60" zoomScaleNormal="100" workbookViewId="0">
      <selection activeCell="V27" sqref="V2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Raw sales_data</vt:lpstr>
      <vt:lpstr>Cleaned Working sales data</vt:lpstr>
      <vt:lpstr>Analysis</vt:lpstr>
      <vt:lpstr>Dashboard</vt:lpstr>
      <vt:lpstr>Avg_Discount</vt:lpstr>
      <vt:lpstr>date</vt:lpstr>
      <vt:lpstr>Discount</vt:lpstr>
      <vt:lpstr>Product</vt:lpstr>
      <vt:lpstr>Qty_Sold</vt:lpstr>
      <vt:lpstr>Total_Qty_Sold</vt:lpstr>
      <vt:lpstr>total_Revenue</vt:lpstr>
      <vt:lpstr>Unit_Price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adewunmi</dc:creator>
  <cp:lastModifiedBy>mathew adewunmi</cp:lastModifiedBy>
  <cp:lastPrinted>2025-09-13T10:18:58Z</cp:lastPrinted>
  <dcterms:created xsi:type="dcterms:W3CDTF">2025-09-05T21:22:40Z</dcterms:created>
  <dcterms:modified xsi:type="dcterms:W3CDTF">2026-01-04T22:40:19Z</dcterms:modified>
</cp:coreProperties>
</file>